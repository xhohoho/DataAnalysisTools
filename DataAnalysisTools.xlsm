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gsafie\Desktop\Project\DATools\"/>
    </mc:Choice>
  </mc:AlternateContent>
  <xr:revisionPtr revIDLastSave="0" documentId="13_ncr:1_{B94E863A-5007-49F5-9A18-B9DF1C637948}" xr6:coauthVersionLast="47" xr6:coauthVersionMax="47" xr10:uidLastSave="{00000000-0000-0000-0000-000000000000}"/>
  <bookViews>
    <workbookView xWindow="-120" yWindow="-120" windowWidth="29040" windowHeight="15840" xr2:uid="{DAAF495B-7A74-4705-B966-427DC41FDA8E}"/>
  </bookViews>
  <sheets>
    <sheet name="Main" sheetId="2" r:id="rId1"/>
    <sheet name="DAT" sheetId="19" r:id="rId2"/>
  </sheets>
  <externalReferences>
    <externalReference r:id="rId3"/>
  </externalReferenc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19" l="1"/>
  <c r="E31" i="19"/>
  <c r="E30" i="19"/>
  <c r="E5" i="19"/>
  <c r="E4" i="19"/>
  <c r="D13" i="19" s="1"/>
  <c r="E6" i="19"/>
  <c r="E7" i="19" l="1"/>
  <c r="D12" i="19" s="1"/>
  <c r="D11" i="19" s="1"/>
  <c r="D10" i="19" s="1"/>
  <c r="D14" i="19" l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E10" i="19" a="1"/>
  <c r="E21" i="19" s="1"/>
  <c r="E20" i="19" l="1"/>
  <c r="E11" i="19"/>
  <c r="E17" i="19"/>
  <c r="E23" i="19"/>
  <c r="E16" i="19"/>
  <c r="E24" i="19"/>
  <c r="E26" i="19"/>
  <c r="E14" i="19"/>
  <c r="E22" i="19"/>
  <c r="E13" i="19"/>
  <c r="E12" i="19"/>
  <c r="E10" i="19"/>
  <c r="E25" i="19"/>
  <c r="E15" i="19"/>
  <c r="E18" i="19"/>
  <c r="E19" i="19"/>
  <c r="E28" i="19" l="1"/>
</calcChain>
</file>

<file path=xl/sharedStrings.xml><?xml version="1.0" encoding="utf-8"?>
<sst xmlns="http://schemas.openxmlformats.org/spreadsheetml/2006/main" count="13" uniqueCount="13">
  <si>
    <t>σ</t>
  </si>
  <si>
    <t>3σ</t>
  </si>
  <si>
    <t>Cpk</t>
  </si>
  <si>
    <t>Cpk &lt; 0.67 : Need immediate improvement</t>
  </si>
  <si>
    <t>Sl.No</t>
  </si>
  <si>
    <t>Readings</t>
  </si>
  <si>
    <t>Min.</t>
  </si>
  <si>
    <t>Max.</t>
  </si>
  <si>
    <t>Count</t>
  </si>
  <si>
    <t>Interval</t>
  </si>
  <si>
    <t>Parameter</t>
  </si>
  <si>
    <t>Frequency</t>
  </si>
  <si>
    <t>Sum of 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</si>
</sst>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color rgb="FFFF0000"/>
      <name val="Calibri"/>
      <family val="3"/>
      <charset val="128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4" fillId="0" borderId="0">
      <alignment vertical="center"/>
    </xf>
    <xf numFmtId="0" fontId="7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/>
    <xf numFmtId="0" fontId="5" fillId="0" borderId="0" xfId="1" applyFont="1" applyAlignment="1">
      <alignment horizontal="center" vertical="center"/>
    </xf>
    <xf numFmtId="0" fontId="6" fillId="0" borderId="0" xfId="0" applyFont="1"/>
    <xf numFmtId="0" fontId="5" fillId="0" borderId="0" xfId="1" applyFont="1" applyAlignment="1">
      <alignment horizontal="left" vertical="center"/>
    </xf>
  </cellXfs>
  <cellStyles count="4">
    <cellStyle name="Hyperlink 2" xfId="3" xr:uid="{69B12648-31EC-43FC-93CD-060C8839BDBF}"/>
    <cellStyle name="Normal" xfId="0" builtinId="0"/>
    <cellStyle name="標準 2" xfId="1" xr:uid="{98B35EE7-3D27-4F83-BB1C-1A2BC7C2FA88}"/>
    <cellStyle name="標準 2 2" xfId="2" xr:uid="{B7AE55CB-4094-48FA-A650-4E7453EE194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DAT!$D$10:$D$26</c:f>
              <c:numCache>
                <c:formatCode>0.0</c:formatCode>
                <c:ptCount val="17"/>
                <c:pt idx="0">
                  <c:v>12.999999999999996</c:v>
                </c:pt>
                <c:pt idx="1">
                  <c:v>18.666666666666664</c:v>
                </c:pt>
                <c:pt idx="2">
                  <c:v>24.333333333333332</c:v>
                </c:pt>
                <c:pt idx="3" formatCode="General">
                  <c:v>30</c:v>
                </c:pt>
                <c:pt idx="4">
                  <c:v>35.666666666666664</c:v>
                </c:pt>
                <c:pt idx="5">
                  <c:v>41.333333333333329</c:v>
                </c:pt>
                <c:pt idx="6">
                  <c:v>46.999999999999993</c:v>
                </c:pt>
                <c:pt idx="7">
                  <c:v>52.666666666666657</c:v>
                </c:pt>
                <c:pt idx="8">
                  <c:v>58.333333333333321</c:v>
                </c:pt>
                <c:pt idx="9">
                  <c:v>63.999999999999986</c:v>
                </c:pt>
                <c:pt idx="10">
                  <c:v>69.666666666666657</c:v>
                </c:pt>
                <c:pt idx="11">
                  <c:v>75.333333333333329</c:v>
                </c:pt>
                <c:pt idx="12">
                  <c:v>81</c:v>
                </c:pt>
                <c:pt idx="13">
                  <c:v>86.666666666666671</c:v>
                </c:pt>
                <c:pt idx="14">
                  <c:v>92.333333333333343</c:v>
                </c:pt>
                <c:pt idx="15">
                  <c:v>98.000000000000014</c:v>
                </c:pt>
                <c:pt idx="16">
                  <c:v>103.66666666666669</c:v>
                </c:pt>
              </c:numCache>
            </c:numRef>
          </c:cat>
          <c:val>
            <c:numRef>
              <c:f>DAT!$E$10:$E$26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16</c:v>
                </c:pt>
                <c:pt idx="10">
                  <c:v>21</c:v>
                </c:pt>
                <c:pt idx="11">
                  <c:v>13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B-47E3-8FDF-38D37F241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47"/>
        <c:axId val="539670520"/>
        <c:axId val="539671800"/>
      </c:barChart>
      <c:catAx>
        <c:axId val="53967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Parameters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71800"/>
        <c:crosses val="autoZero"/>
        <c:auto val="1"/>
        <c:lblAlgn val="ctr"/>
        <c:lblOffset val="100"/>
        <c:noMultiLvlLbl val="0"/>
      </c:catAx>
      <c:valAx>
        <c:axId val="53967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7052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2</xdr:row>
      <xdr:rowOff>160020</xdr:rowOff>
    </xdr:from>
    <xdr:to>
      <xdr:col>12</xdr:col>
      <xdr:colOff>0</xdr:colOff>
      <xdr:row>19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F29409-D94D-4DA3-91F7-248BB4439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2</xdr:row>
          <xdr:rowOff>180975</xdr:rowOff>
        </xdr:from>
        <xdr:to>
          <xdr:col>14</xdr:col>
          <xdr:colOff>523875</xdr:colOff>
          <xdr:row>6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ngsafie\Downloads\Histogram-Template.xlsx" TargetMode="External"/><Relationship Id="rId1" Type="http://schemas.openxmlformats.org/officeDocument/2006/relationships/externalLinkPath" Target="/Users/engsafie/Downloads/Histogram-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9">
          <cell r="D9">
            <v>1394</v>
          </cell>
          <cell r="E9">
            <v>1</v>
          </cell>
        </row>
        <row r="10">
          <cell r="D10">
            <v>1395.3333333333333</v>
          </cell>
          <cell r="E10">
            <v>1</v>
          </cell>
        </row>
        <row r="11">
          <cell r="D11">
            <v>1396.6666666666665</v>
          </cell>
          <cell r="E11">
            <v>0</v>
          </cell>
        </row>
        <row r="12">
          <cell r="D12">
            <v>1397.9999999999998</v>
          </cell>
          <cell r="E12">
            <v>1</v>
          </cell>
        </row>
        <row r="13">
          <cell r="D13">
            <v>1399.333333333333</v>
          </cell>
          <cell r="E13">
            <v>10</v>
          </cell>
        </row>
        <row r="14">
          <cell r="D14">
            <v>1400.6666666666663</v>
          </cell>
          <cell r="E14">
            <v>2</v>
          </cell>
        </row>
        <row r="15">
          <cell r="D15">
            <v>1401.9999999999995</v>
          </cell>
          <cell r="E15">
            <v>2</v>
          </cell>
        </row>
        <row r="16">
          <cell r="D16">
            <v>1403.3333333333328</v>
          </cell>
          <cell r="E16">
            <v>10</v>
          </cell>
        </row>
        <row r="17">
          <cell r="D17">
            <v>1404.6666666666661</v>
          </cell>
          <cell r="E17">
            <v>1</v>
          </cell>
        </row>
        <row r="18">
          <cell r="D18">
            <v>1405.9999999999993</v>
          </cell>
          <cell r="E18">
            <v>1</v>
          </cell>
        </row>
        <row r="19">
          <cell r="D19">
            <v>1407.3333333333326</v>
          </cell>
          <cell r="E19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A248-1A2B-4D1D-B0CA-33FA47BE03B7}">
  <sheetPr codeName="Sheet2"/>
  <dimension ref="A1"/>
  <sheetViews>
    <sheetView tabSelected="1" workbookViewId="0">
      <selection activeCell="J25" sqref="J25"/>
    </sheetView>
  </sheetViews>
  <sheetFormatPr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nstar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6B19-8A7E-4B9E-8D4D-9FA58765D4BF}">
  <sheetPr codeName="Sheet3"/>
  <dimension ref="A4:E154"/>
  <sheetViews>
    <sheetView showGridLines="0" workbookViewId="0">
      <selection activeCell="N24" sqref="N24"/>
    </sheetView>
  </sheetViews>
  <sheetFormatPr defaultRowHeight="15"/>
  <cols>
    <col min="1" max="1" width="9.5703125" style="9" bestFit="1" customWidth="1"/>
    <col min="2" max="2" width="9.140625" style="9"/>
    <col min="3" max="3" width="9.7109375" style="9" bestFit="1" customWidth="1"/>
    <col min="4" max="4" width="9.5703125" style="9" bestFit="1" customWidth="1"/>
    <col min="5" max="5" width="9.7109375" style="9" bestFit="1" customWidth="1"/>
    <col min="6" max="16384" width="9.140625" style="9"/>
  </cols>
  <sheetData>
    <row r="4" spans="1:5">
      <c r="A4" s="2" t="s">
        <v>4</v>
      </c>
      <c r="B4" s="2" t="s">
        <v>5</v>
      </c>
      <c r="D4" s="1" t="s">
        <v>6</v>
      </c>
      <c r="E4" s="2">
        <f>MIN(B5:B154)</f>
        <v>30</v>
      </c>
    </row>
    <row r="5" spans="1:5">
      <c r="A5" s="2">
        <v>1</v>
      </c>
      <c r="B5" s="3">
        <v>61</v>
      </c>
      <c r="D5" s="1" t="s">
        <v>7</v>
      </c>
      <c r="E5" s="2">
        <f>MAX(B5:B154)</f>
        <v>81</v>
      </c>
    </row>
    <row r="6" spans="1:5">
      <c r="A6" s="2">
        <v>2</v>
      </c>
      <c r="B6" s="3">
        <v>61</v>
      </c>
      <c r="D6" s="1" t="s">
        <v>8</v>
      </c>
      <c r="E6" s="2">
        <f>COUNT(B5:B154)</f>
        <v>74</v>
      </c>
    </row>
    <row r="7" spans="1:5">
      <c r="A7" s="2">
        <v>3</v>
      </c>
      <c r="B7" s="3">
        <v>61</v>
      </c>
      <c r="D7" s="1" t="s">
        <v>9</v>
      </c>
      <c r="E7" s="4">
        <f>(E5-E4)/9</f>
        <v>5.666666666666667</v>
      </c>
    </row>
    <row r="8" spans="1:5">
      <c r="A8" s="2">
        <v>4</v>
      </c>
      <c r="B8" s="3">
        <v>70</v>
      </c>
    </row>
    <row r="9" spans="1:5">
      <c r="A9" s="2">
        <v>5</v>
      </c>
      <c r="B9" s="3">
        <v>66</v>
      </c>
      <c r="D9" s="5" t="s">
        <v>10</v>
      </c>
      <c r="E9" s="5" t="s">
        <v>11</v>
      </c>
    </row>
    <row r="10" spans="1:5">
      <c r="A10" s="2">
        <v>6</v>
      </c>
      <c r="B10" s="3">
        <v>64</v>
      </c>
      <c r="D10" s="7">
        <f t="shared" ref="D10:D11" si="0">D11-$E$7</f>
        <v>12.999999999999996</v>
      </c>
      <c r="E10" s="8">
        <f t="array" ref="E10:E26">FREQUENCY(B5:B154,D10:D26)</f>
        <v>0</v>
      </c>
    </row>
    <row r="11" spans="1:5">
      <c r="A11" s="2">
        <v>7</v>
      </c>
      <c r="B11" s="3">
        <v>76</v>
      </c>
      <c r="D11" s="7">
        <f t="shared" si="0"/>
        <v>18.666666666666664</v>
      </c>
      <c r="E11" s="8">
        <v>0</v>
      </c>
    </row>
    <row r="12" spans="1:5">
      <c r="A12" s="2">
        <v>8</v>
      </c>
      <c r="B12" s="3">
        <v>64</v>
      </c>
      <c r="D12" s="7">
        <f>D13-$E$7</f>
        <v>24.333333333333332</v>
      </c>
      <c r="E12" s="8">
        <v>0</v>
      </c>
    </row>
    <row r="13" spans="1:5">
      <c r="A13" s="2">
        <v>9</v>
      </c>
      <c r="B13" s="3">
        <v>66</v>
      </c>
      <c r="D13" s="2">
        <f>E4</f>
        <v>30</v>
      </c>
      <c r="E13" s="2">
        <v>1</v>
      </c>
    </row>
    <row r="14" spans="1:5">
      <c r="A14" s="2">
        <v>10</v>
      </c>
      <c r="B14" s="3">
        <v>66</v>
      </c>
      <c r="D14" s="4">
        <f>D13+$E$7</f>
        <v>35.666666666666664</v>
      </c>
      <c r="E14" s="2">
        <v>0</v>
      </c>
    </row>
    <row r="15" spans="1:5">
      <c r="A15" s="2">
        <v>11</v>
      </c>
      <c r="B15" s="3">
        <v>68</v>
      </c>
      <c r="D15" s="4">
        <f t="shared" ref="D15:D23" si="1">D14+$E$7</f>
        <v>41.333333333333329</v>
      </c>
      <c r="E15" s="2">
        <v>1</v>
      </c>
    </row>
    <row r="16" spans="1:5">
      <c r="A16" s="2">
        <v>12</v>
      </c>
      <c r="B16" s="3">
        <v>59</v>
      </c>
      <c r="D16" s="4">
        <f t="shared" si="1"/>
        <v>46.999999999999993</v>
      </c>
      <c r="E16" s="2">
        <v>0</v>
      </c>
    </row>
    <row r="17" spans="1:5">
      <c r="A17" s="2">
        <v>13</v>
      </c>
      <c r="B17" s="3">
        <v>30</v>
      </c>
      <c r="D17" s="4">
        <f t="shared" si="1"/>
        <v>52.666666666666657</v>
      </c>
      <c r="E17" s="2">
        <v>3</v>
      </c>
    </row>
    <row r="18" spans="1:5">
      <c r="A18" s="2">
        <v>14</v>
      </c>
      <c r="B18" s="3">
        <v>52</v>
      </c>
      <c r="D18" s="4">
        <f t="shared" si="1"/>
        <v>58.333333333333321</v>
      </c>
      <c r="E18" s="2">
        <v>14</v>
      </c>
    </row>
    <row r="19" spans="1:5">
      <c r="A19" s="2">
        <v>15</v>
      </c>
      <c r="B19" s="3">
        <v>68</v>
      </c>
      <c r="D19" s="4">
        <f t="shared" si="1"/>
        <v>63.999999999999986</v>
      </c>
      <c r="E19" s="2">
        <v>16</v>
      </c>
    </row>
    <row r="20" spans="1:5">
      <c r="A20" s="2">
        <v>16</v>
      </c>
      <c r="B20" s="3">
        <v>61</v>
      </c>
      <c r="D20" s="4">
        <f t="shared" si="1"/>
        <v>69.666666666666657</v>
      </c>
      <c r="E20" s="2">
        <v>21</v>
      </c>
    </row>
    <row r="21" spans="1:5">
      <c r="A21" s="2">
        <v>17</v>
      </c>
      <c r="B21" s="3">
        <v>58</v>
      </c>
      <c r="D21" s="4">
        <f t="shared" si="1"/>
        <v>75.333333333333329</v>
      </c>
      <c r="E21" s="2">
        <v>13</v>
      </c>
    </row>
    <row r="22" spans="1:5">
      <c r="A22" s="2">
        <v>18</v>
      </c>
      <c r="B22" s="3">
        <v>58</v>
      </c>
      <c r="D22" s="4">
        <f t="shared" si="1"/>
        <v>81</v>
      </c>
      <c r="E22" s="2">
        <v>5</v>
      </c>
    </row>
    <row r="23" spans="1:5">
      <c r="A23" s="2">
        <v>19</v>
      </c>
      <c r="B23" s="3">
        <v>77</v>
      </c>
      <c r="D23" s="4">
        <f t="shared" si="1"/>
        <v>86.666666666666671</v>
      </c>
      <c r="E23" s="2">
        <v>0</v>
      </c>
    </row>
    <row r="24" spans="1:5">
      <c r="A24" s="2">
        <v>20</v>
      </c>
      <c r="B24" s="3">
        <v>65</v>
      </c>
      <c r="D24" s="7">
        <f>D23+$E$7</f>
        <v>92.333333333333343</v>
      </c>
      <c r="E24" s="8">
        <v>0</v>
      </c>
    </row>
    <row r="25" spans="1:5">
      <c r="A25" s="2">
        <v>21</v>
      </c>
      <c r="B25" s="3">
        <v>59</v>
      </c>
      <c r="D25" s="7">
        <f t="shared" ref="D25:D26" si="2">D24+$E$7</f>
        <v>98.000000000000014</v>
      </c>
      <c r="E25" s="8">
        <v>0</v>
      </c>
    </row>
    <row r="26" spans="1:5">
      <c r="A26" s="2">
        <v>22</v>
      </c>
      <c r="B26" s="3">
        <v>62</v>
      </c>
      <c r="D26" s="7">
        <f t="shared" si="2"/>
        <v>103.66666666666669</v>
      </c>
      <c r="E26" s="8">
        <v>0</v>
      </c>
    </row>
    <row r="27" spans="1:5">
      <c r="A27" s="2">
        <v>23</v>
      </c>
      <c r="B27" s="3">
        <v>58</v>
      </c>
    </row>
    <row r="28" spans="1:5" ht="45">
      <c r="A28" s="2">
        <v>24</v>
      </c>
      <c r="B28" s="3">
        <v>73</v>
      </c>
      <c r="D28" s="6" t="s">
        <v>12</v>
      </c>
      <c r="E28" s="2">
        <f>SUM(E10:E26)</f>
        <v>74</v>
      </c>
    </row>
    <row r="29" spans="1:5">
      <c r="A29" s="2">
        <v>25</v>
      </c>
      <c r="B29" s="3">
        <v>64</v>
      </c>
    </row>
    <row r="30" spans="1:5">
      <c r="A30" s="2">
        <v>26</v>
      </c>
      <c r="B30" s="3">
        <v>56</v>
      </c>
      <c r="D30" s="10" t="s">
        <v>0</v>
      </c>
      <c r="E30" s="11">
        <f>_xlfn.STDEV.P(B5:B154)</f>
        <v>8.64764563440602</v>
      </c>
    </row>
    <row r="31" spans="1:5">
      <c r="A31" s="2">
        <v>27</v>
      </c>
      <c r="B31" s="3">
        <v>63</v>
      </c>
      <c r="D31" s="10" t="s">
        <v>1</v>
      </c>
      <c r="E31" s="11">
        <f>E30*3</f>
        <v>25.942936903218062</v>
      </c>
    </row>
    <row r="32" spans="1:5">
      <c r="A32" s="2">
        <v>28</v>
      </c>
      <c r="B32" s="3">
        <v>53</v>
      </c>
      <c r="D32" s="10" t="s">
        <v>2</v>
      </c>
      <c r="E32" s="11">
        <f>(E5-E4)/E31</f>
        <v>1.9658529868942387</v>
      </c>
    </row>
    <row r="33" spans="1:4">
      <c r="A33" s="2">
        <v>29</v>
      </c>
      <c r="B33" s="3">
        <v>75</v>
      </c>
    </row>
    <row r="34" spans="1:4">
      <c r="A34" s="2">
        <v>30</v>
      </c>
      <c r="B34" s="3">
        <v>75</v>
      </c>
      <c r="D34" s="12" t="s">
        <v>3</v>
      </c>
    </row>
    <row r="35" spans="1:4">
      <c r="A35" s="2">
        <v>31</v>
      </c>
      <c r="B35" s="3">
        <v>65</v>
      </c>
    </row>
    <row r="36" spans="1:4">
      <c r="A36" s="2">
        <v>32</v>
      </c>
      <c r="B36" s="3">
        <v>72</v>
      </c>
    </row>
    <row r="37" spans="1:4">
      <c r="A37" s="2">
        <v>33</v>
      </c>
      <c r="B37" s="3">
        <v>49</v>
      </c>
    </row>
    <row r="38" spans="1:4">
      <c r="A38" s="2">
        <v>34</v>
      </c>
      <c r="B38" s="3">
        <v>63</v>
      </c>
    </row>
    <row r="39" spans="1:4">
      <c r="A39" s="2">
        <v>35</v>
      </c>
      <c r="B39" s="3">
        <v>64</v>
      </c>
    </row>
    <row r="40" spans="1:4">
      <c r="A40" s="2">
        <v>36</v>
      </c>
      <c r="B40" s="3">
        <v>54</v>
      </c>
    </row>
    <row r="41" spans="1:4">
      <c r="A41" s="2">
        <v>37</v>
      </c>
      <c r="B41" s="3">
        <v>51</v>
      </c>
    </row>
    <row r="42" spans="1:4">
      <c r="A42" s="2">
        <v>38</v>
      </c>
      <c r="B42" s="3">
        <v>65</v>
      </c>
    </row>
    <row r="43" spans="1:4">
      <c r="A43" s="2">
        <v>39</v>
      </c>
      <c r="B43" s="3">
        <v>81</v>
      </c>
    </row>
    <row r="44" spans="1:4">
      <c r="A44" s="2">
        <v>40</v>
      </c>
      <c r="B44" s="3">
        <v>65</v>
      </c>
    </row>
    <row r="45" spans="1:4">
      <c r="A45" s="2">
        <v>41</v>
      </c>
      <c r="B45" s="3">
        <v>61</v>
      </c>
    </row>
    <row r="46" spans="1:4">
      <c r="A46" s="2">
        <v>42</v>
      </c>
      <c r="B46" s="3">
        <v>79</v>
      </c>
    </row>
    <row r="47" spans="1:4">
      <c r="A47" s="2">
        <v>43</v>
      </c>
      <c r="B47" s="3">
        <v>73</v>
      </c>
    </row>
    <row r="48" spans="1:4">
      <c r="A48" s="2">
        <v>44</v>
      </c>
      <c r="B48" s="3">
        <v>75</v>
      </c>
    </row>
    <row r="49" spans="1:2">
      <c r="A49" s="2">
        <v>45</v>
      </c>
      <c r="B49" s="3">
        <v>60</v>
      </c>
    </row>
    <row r="50" spans="1:2">
      <c r="A50" s="2">
        <v>46</v>
      </c>
      <c r="B50" s="3">
        <v>66</v>
      </c>
    </row>
    <row r="51" spans="1:2">
      <c r="A51" s="2">
        <v>47</v>
      </c>
      <c r="B51" s="3">
        <v>68</v>
      </c>
    </row>
    <row r="52" spans="1:2">
      <c r="A52" s="2">
        <v>48</v>
      </c>
      <c r="B52" s="3">
        <v>40</v>
      </c>
    </row>
    <row r="53" spans="1:2">
      <c r="A53" s="2">
        <v>49</v>
      </c>
      <c r="B53" s="3">
        <v>62</v>
      </c>
    </row>
    <row r="54" spans="1:2">
      <c r="A54" s="2">
        <v>50</v>
      </c>
      <c r="B54" s="3">
        <v>65</v>
      </c>
    </row>
    <row r="55" spans="1:2">
      <c r="A55" s="2">
        <v>51</v>
      </c>
      <c r="B55" s="3">
        <v>66</v>
      </c>
    </row>
    <row r="56" spans="1:2">
      <c r="A56" s="2">
        <v>52</v>
      </c>
      <c r="B56" s="3">
        <v>57</v>
      </c>
    </row>
    <row r="57" spans="1:2">
      <c r="A57" s="2">
        <v>53</v>
      </c>
      <c r="B57" s="3">
        <v>62</v>
      </c>
    </row>
    <row r="58" spans="1:2">
      <c r="A58" s="2">
        <v>54</v>
      </c>
      <c r="B58" s="3">
        <v>73</v>
      </c>
    </row>
    <row r="59" spans="1:2">
      <c r="A59" s="2">
        <v>55</v>
      </c>
      <c r="B59" s="3">
        <v>59</v>
      </c>
    </row>
    <row r="60" spans="1:2">
      <c r="A60" s="2">
        <v>56</v>
      </c>
      <c r="B60" s="3">
        <v>56</v>
      </c>
    </row>
    <row r="61" spans="1:2">
      <c r="A61" s="2">
        <v>57</v>
      </c>
      <c r="B61" s="3">
        <v>75</v>
      </c>
    </row>
    <row r="62" spans="1:2">
      <c r="A62" s="2">
        <v>58</v>
      </c>
      <c r="B62" s="3">
        <v>64</v>
      </c>
    </row>
    <row r="63" spans="1:2">
      <c r="A63" s="2">
        <v>59</v>
      </c>
      <c r="B63" s="3">
        <v>61</v>
      </c>
    </row>
    <row r="64" spans="1:2">
      <c r="A64" s="2">
        <v>60</v>
      </c>
      <c r="B64" s="3">
        <v>58</v>
      </c>
    </row>
    <row r="65" spans="1:2">
      <c r="A65" s="2">
        <v>61</v>
      </c>
      <c r="B65" s="3">
        <v>70</v>
      </c>
    </row>
    <row r="66" spans="1:2">
      <c r="A66" s="2">
        <v>62</v>
      </c>
      <c r="B66" s="3">
        <v>63</v>
      </c>
    </row>
    <row r="67" spans="1:2">
      <c r="A67" s="2">
        <v>63</v>
      </c>
      <c r="B67" s="3">
        <v>79</v>
      </c>
    </row>
    <row r="68" spans="1:2">
      <c r="A68" s="2">
        <v>64</v>
      </c>
      <c r="B68" s="3">
        <v>72</v>
      </c>
    </row>
    <row r="69" spans="1:2">
      <c r="A69" s="2">
        <v>65</v>
      </c>
      <c r="B69" s="3">
        <v>54</v>
      </c>
    </row>
    <row r="70" spans="1:2">
      <c r="A70" s="2">
        <v>66</v>
      </c>
      <c r="B70" s="3">
        <v>71</v>
      </c>
    </row>
    <row r="71" spans="1:2">
      <c r="A71" s="2">
        <v>67</v>
      </c>
      <c r="B71" s="3">
        <v>55</v>
      </c>
    </row>
    <row r="72" spans="1:2">
      <c r="A72" s="2">
        <v>68</v>
      </c>
      <c r="B72" s="3">
        <v>58</v>
      </c>
    </row>
    <row r="73" spans="1:2">
      <c r="A73" s="2">
        <v>69</v>
      </c>
      <c r="B73" s="3">
        <v>66</v>
      </c>
    </row>
    <row r="74" spans="1:2">
      <c r="A74" s="2">
        <v>70</v>
      </c>
      <c r="B74" s="3">
        <v>75</v>
      </c>
    </row>
    <row r="75" spans="1:2">
      <c r="A75" s="2">
        <v>71</v>
      </c>
      <c r="B75" s="3">
        <v>68</v>
      </c>
    </row>
    <row r="76" spans="1:2">
      <c r="A76" s="2">
        <v>72</v>
      </c>
      <c r="B76" s="3">
        <v>69</v>
      </c>
    </row>
    <row r="77" spans="1:2">
      <c r="A77" s="2">
        <v>73</v>
      </c>
      <c r="B77" s="3">
        <v>58</v>
      </c>
    </row>
    <row r="78" spans="1:2">
      <c r="A78" s="2">
        <v>74</v>
      </c>
      <c r="B78" s="3">
        <v>57</v>
      </c>
    </row>
    <row r="79" spans="1:2">
      <c r="A79" s="2">
        <v>75</v>
      </c>
      <c r="B79" s="3"/>
    </row>
    <row r="80" spans="1:2">
      <c r="A80" s="2">
        <v>76</v>
      </c>
      <c r="B80" s="3"/>
    </row>
    <row r="81" spans="1:2">
      <c r="A81" s="2">
        <v>77</v>
      </c>
      <c r="B81" s="3"/>
    </row>
    <row r="82" spans="1:2">
      <c r="A82" s="2">
        <v>78</v>
      </c>
      <c r="B82" s="3"/>
    </row>
    <row r="83" spans="1:2">
      <c r="A83" s="2">
        <v>79</v>
      </c>
      <c r="B83" s="3"/>
    </row>
    <row r="84" spans="1:2">
      <c r="A84" s="2">
        <v>80</v>
      </c>
      <c r="B84" s="3"/>
    </row>
    <row r="85" spans="1:2">
      <c r="A85" s="2">
        <v>81</v>
      </c>
      <c r="B85" s="3"/>
    </row>
    <row r="86" spans="1:2">
      <c r="A86" s="2">
        <v>82</v>
      </c>
      <c r="B86" s="3"/>
    </row>
    <row r="87" spans="1:2">
      <c r="A87" s="2">
        <v>83</v>
      </c>
      <c r="B87" s="3"/>
    </row>
    <row r="88" spans="1:2">
      <c r="A88" s="2">
        <v>84</v>
      </c>
      <c r="B88" s="3"/>
    </row>
    <row r="89" spans="1:2">
      <c r="A89" s="2">
        <v>85</v>
      </c>
      <c r="B89" s="3"/>
    </row>
    <row r="90" spans="1:2">
      <c r="A90" s="2">
        <v>86</v>
      </c>
      <c r="B90" s="3"/>
    </row>
    <row r="91" spans="1:2">
      <c r="A91" s="2">
        <v>87</v>
      </c>
      <c r="B91" s="3"/>
    </row>
    <row r="92" spans="1:2">
      <c r="A92" s="2">
        <v>88</v>
      </c>
      <c r="B92" s="3"/>
    </row>
    <row r="93" spans="1:2">
      <c r="A93" s="2">
        <v>89</v>
      </c>
      <c r="B93" s="3"/>
    </row>
    <row r="94" spans="1:2">
      <c r="A94" s="2">
        <v>90</v>
      </c>
      <c r="B94" s="3"/>
    </row>
    <row r="95" spans="1:2">
      <c r="A95" s="2">
        <v>91</v>
      </c>
      <c r="B95" s="3"/>
    </row>
    <row r="96" spans="1:2">
      <c r="A96" s="2">
        <v>92</v>
      </c>
      <c r="B96" s="3"/>
    </row>
    <row r="97" spans="1:2">
      <c r="A97" s="2">
        <v>93</v>
      </c>
      <c r="B97" s="3"/>
    </row>
    <row r="98" spans="1:2">
      <c r="A98" s="2">
        <v>94</v>
      </c>
      <c r="B98" s="3"/>
    </row>
    <row r="99" spans="1:2">
      <c r="A99" s="2">
        <v>95</v>
      </c>
      <c r="B99" s="3"/>
    </row>
    <row r="100" spans="1:2">
      <c r="A100" s="2">
        <v>96</v>
      </c>
      <c r="B100" s="3"/>
    </row>
    <row r="101" spans="1:2">
      <c r="A101" s="2">
        <v>97</v>
      </c>
      <c r="B101" s="3"/>
    </row>
    <row r="102" spans="1:2">
      <c r="A102" s="2">
        <v>98</v>
      </c>
      <c r="B102" s="3"/>
    </row>
    <row r="103" spans="1:2">
      <c r="A103" s="2">
        <v>99</v>
      </c>
      <c r="B103" s="3"/>
    </row>
    <row r="104" spans="1:2">
      <c r="A104" s="2">
        <v>100</v>
      </c>
      <c r="B104" s="3"/>
    </row>
    <row r="105" spans="1:2">
      <c r="A105" s="2">
        <v>101</v>
      </c>
      <c r="B105" s="3"/>
    </row>
    <row r="106" spans="1:2">
      <c r="A106" s="2">
        <v>102</v>
      </c>
      <c r="B106" s="3"/>
    </row>
    <row r="107" spans="1:2">
      <c r="A107" s="2">
        <v>103</v>
      </c>
      <c r="B107" s="3"/>
    </row>
    <row r="108" spans="1:2">
      <c r="A108" s="2">
        <v>104</v>
      </c>
      <c r="B108" s="3"/>
    </row>
    <row r="109" spans="1:2">
      <c r="A109" s="2">
        <v>105</v>
      </c>
      <c r="B109" s="3"/>
    </row>
    <row r="110" spans="1:2">
      <c r="A110" s="2">
        <v>106</v>
      </c>
      <c r="B110" s="3"/>
    </row>
    <row r="111" spans="1:2">
      <c r="A111" s="2">
        <v>107</v>
      </c>
      <c r="B111" s="3"/>
    </row>
    <row r="112" spans="1:2">
      <c r="A112" s="2">
        <v>108</v>
      </c>
      <c r="B112" s="3"/>
    </row>
    <row r="113" spans="1:2">
      <c r="A113" s="2">
        <v>109</v>
      </c>
      <c r="B113" s="3"/>
    </row>
    <row r="114" spans="1:2">
      <c r="A114" s="2">
        <v>110</v>
      </c>
      <c r="B114" s="3"/>
    </row>
    <row r="115" spans="1:2">
      <c r="A115" s="2">
        <v>111</v>
      </c>
      <c r="B115" s="3"/>
    </row>
    <row r="116" spans="1:2">
      <c r="A116" s="2">
        <v>112</v>
      </c>
      <c r="B116" s="3"/>
    </row>
    <row r="117" spans="1:2">
      <c r="A117" s="2">
        <v>113</v>
      </c>
      <c r="B117" s="3"/>
    </row>
    <row r="118" spans="1:2">
      <c r="A118" s="2">
        <v>114</v>
      </c>
      <c r="B118" s="3"/>
    </row>
    <row r="119" spans="1:2">
      <c r="A119" s="2">
        <v>115</v>
      </c>
      <c r="B119" s="3"/>
    </row>
    <row r="120" spans="1:2">
      <c r="A120" s="2">
        <v>116</v>
      </c>
      <c r="B120" s="3"/>
    </row>
    <row r="121" spans="1:2">
      <c r="A121" s="2">
        <v>117</v>
      </c>
      <c r="B121" s="3"/>
    </row>
    <row r="122" spans="1:2">
      <c r="A122" s="2">
        <v>118</v>
      </c>
      <c r="B122" s="3"/>
    </row>
    <row r="123" spans="1:2">
      <c r="A123" s="2">
        <v>119</v>
      </c>
      <c r="B123" s="3"/>
    </row>
    <row r="124" spans="1:2">
      <c r="A124" s="2">
        <v>120</v>
      </c>
      <c r="B124" s="3"/>
    </row>
    <row r="125" spans="1:2">
      <c r="A125" s="2">
        <v>121</v>
      </c>
      <c r="B125" s="3"/>
    </row>
    <row r="126" spans="1:2">
      <c r="A126" s="2">
        <v>122</v>
      </c>
      <c r="B126" s="3"/>
    </row>
    <row r="127" spans="1:2">
      <c r="A127" s="2">
        <v>123</v>
      </c>
      <c r="B127" s="3"/>
    </row>
    <row r="128" spans="1:2">
      <c r="A128" s="2">
        <v>124</v>
      </c>
      <c r="B128" s="3"/>
    </row>
    <row r="129" spans="1:2">
      <c r="A129" s="2">
        <v>125</v>
      </c>
      <c r="B129" s="3"/>
    </row>
    <row r="130" spans="1:2">
      <c r="A130" s="2">
        <v>126</v>
      </c>
      <c r="B130" s="3"/>
    </row>
    <row r="131" spans="1:2">
      <c r="A131" s="2">
        <v>127</v>
      </c>
      <c r="B131" s="3"/>
    </row>
    <row r="132" spans="1:2">
      <c r="A132" s="2">
        <v>128</v>
      </c>
      <c r="B132" s="3"/>
    </row>
    <row r="133" spans="1:2">
      <c r="A133" s="2">
        <v>129</v>
      </c>
      <c r="B133" s="3"/>
    </row>
    <row r="134" spans="1:2">
      <c r="A134" s="2">
        <v>130</v>
      </c>
      <c r="B134" s="3"/>
    </row>
    <row r="135" spans="1:2">
      <c r="A135" s="2">
        <v>131</v>
      </c>
      <c r="B135" s="3"/>
    </row>
    <row r="136" spans="1:2">
      <c r="A136" s="2">
        <v>132</v>
      </c>
      <c r="B136" s="3"/>
    </row>
    <row r="137" spans="1:2">
      <c r="A137" s="2">
        <v>133</v>
      </c>
      <c r="B137" s="3"/>
    </row>
    <row r="138" spans="1:2">
      <c r="A138" s="2">
        <v>134</v>
      </c>
      <c r="B138" s="3"/>
    </row>
    <row r="139" spans="1:2">
      <c r="A139" s="2">
        <v>135</v>
      </c>
      <c r="B139" s="3"/>
    </row>
    <row r="140" spans="1:2">
      <c r="A140" s="2">
        <v>136</v>
      </c>
      <c r="B140" s="3"/>
    </row>
    <row r="141" spans="1:2">
      <c r="A141" s="2">
        <v>137</v>
      </c>
      <c r="B141" s="3"/>
    </row>
    <row r="142" spans="1:2">
      <c r="A142" s="2">
        <v>138</v>
      </c>
      <c r="B142" s="3"/>
    </row>
    <row r="143" spans="1:2">
      <c r="A143" s="2">
        <v>139</v>
      </c>
      <c r="B143" s="3"/>
    </row>
    <row r="144" spans="1:2">
      <c r="A144" s="2">
        <v>140</v>
      </c>
      <c r="B144" s="3"/>
    </row>
    <row r="145" spans="1:2">
      <c r="A145" s="2">
        <v>141</v>
      </c>
      <c r="B145" s="3"/>
    </row>
    <row r="146" spans="1:2">
      <c r="A146" s="2">
        <v>142</v>
      </c>
      <c r="B146" s="3"/>
    </row>
    <row r="147" spans="1:2">
      <c r="A147" s="2">
        <v>143</v>
      </c>
      <c r="B147" s="3"/>
    </row>
    <row r="148" spans="1:2">
      <c r="A148" s="2">
        <v>144</v>
      </c>
      <c r="B148" s="3"/>
    </row>
    <row r="149" spans="1:2">
      <c r="A149" s="2">
        <v>145</v>
      </c>
      <c r="B149" s="3"/>
    </row>
    <row r="150" spans="1:2">
      <c r="A150" s="2">
        <v>146</v>
      </c>
      <c r="B150" s="3"/>
    </row>
    <row r="151" spans="1:2">
      <c r="A151" s="2">
        <v>147</v>
      </c>
      <c r="B151" s="3"/>
    </row>
    <row r="152" spans="1:2">
      <c r="A152" s="2">
        <v>148</v>
      </c>
      <c r="B152" s="3"/>
    </row>
    <row r="153" spans="1:2">
      <c r="A153" s="2">
        <v>149</v>
      </c>
      <c r="B153" s="3"/>
    </row>
    <row r="154" spans="1:2">
      <c r="A154" s="2">
        <v>150</v>
      </c>
      <c r="B15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fnstart">
                <anchor moveWithCells="1" sizeWithCells="1">
                  <from>
                    <xdr:col>12</xdr:col>
                    <xdr:colOff>495300</xdr:colOff>
                    <xdr:row>2</xdr:row>
                    <xdr:rowOff>180975</xdr:rowOff>
                  </from>
                  <to>
                    <xdr:col>14</xdr:col>
                    <xdr:colOff>523875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jkem.it@outlook.com</dc:creator>
  <cp:lastModifiedBy>jkem.it@outlook.com</cp:lastModifiedBy>
  <dcterms:created xsi:type="dcterms:W3CDTF">2023-11-08T06:08:27Z</dcterms:created>
  <dcterms:modified xsi:type="dcterms:W3CDTF">2023-11-10T06:45:28Z</dcterms:modified>
</cp:coreProperties>
</file>