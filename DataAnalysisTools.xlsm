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gsafie\Desktop\Project\DATools\"/>
    </mc:Choice>
  </mc:AlternateContent>
  <xr:revisionPtr revIDLastSave="0" documentId="13_ncr:1_{7CE5AF6A-4713-409A-9B4B-86706C90130C}" xr6:coauthVersionLast="47" xr6:coauthVersionMax="47" xr10:uidLastSave="{00000000-0000-0000-0000-000000000000}"/>
  <bookViews>
    <workbookView xWindow="-120" yWindow="-120" windowWidth="29040" windowHeight="15840" activeTab="3" xr2:uid="{DAAF495B-7A74-4705-B966-427DC41FDA8E}"/>
  </bookViews>
  <sheets>
    <sheet name="IQ phase.KED" sheetId="6" r:id="rId1"/>
    <sheet name="Main" sheetId="2" r:id="rId2"/>
    <sheet name="DAT" sheetId="3" r:id="rId3"/>
    <sheet name="Sheet1" sheetId="4" r:id="rId4"/>
  </sheet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E5" i="4"/>
  <c r="E4" i="4"/>
  <c r="D13" i="4" l="1"/>
  <c r="E29" i="4"/>
  <c r="E30" i="4" s="1"/>
  <c r="E31" i="4" l="1"/>
  <c r="E7" i="4"/>
  <c r="D14" i="4" s="1"/>
  <c r="D12" i="4" l="1"/>
  <c r="D11" i="4" s="1"/>
  <c r="D10" i="4" s="1"/>
  <c r="E10" i="4" s="1" a="1"/>
  <c r="D15" i="4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C5" i="3" a="1"/>
  <c r="C66" i="3" s="1"/>
  <c r="E11" i="4" l="1"/>
  <c r="E19" i="4"/>
  <c r="E24" i="4"/>
  <c r="E12" i="4"/>
  <c r="E23" i="4"/>
  <c r="E16" i="4"/>
  <c r="E22" i="4"/>
  <c r="E18" i="4"/>
  <c r="E15" i="4"/>
  <c r="E13" i="4"/>
  <c r="E10" i="4"/>
  <c r="E20" i="4"/>
  <c r="E17" i="4"/>
  <c r="E14" i="4"/>
  <c r="E21" i="4"/>
  <c r="E25" i="4"/>
  <c r="C15" i="3"/>
  <c r="C39" i="3"/>
  <c r="C31" i="3"/>
  <c r="C43" i="3"/>
  <c r="C55" i="3"/>
  <c r="C8" i="3"/>
  <c r="C20" i="3"/>
  <c r="C32" i="3"/>
  <c r="C44" i="3"/>
  <c r="C56" i="3"/>
  <c r="C63" i="3"/>
  <c r="C7" i="3"/>
  <c r="C21" i="3"/>
  <c r="C57" i="3"/>
  <c r="C22" i="3"/>
  <c r="C46" i="3"/>
  <c r="C11" i="3"/>
  <c r="C35" i="3"/>
  <c r="C47" i="3"/>
  <c r="C59" i="3"/>
  <c r="C12" i="3"/>
  <c r="C24" i="3"/>
  <c r="C36" i="3"/>
  <c r="C48" i="3"/>
  <c r="C60" i="3"/>
  <c r="C27" i="3"/>
  <c r="C33" i="3"/>
  <c r="C34" i="3"/>
  <c r="C13" i="3"/>
  <c r="C25" i="3"/>
  <c r="C37" i="3"/>
  <c r="C49" i="3"/>
  <c r="C61" i="3"/>
  <c r="C51" i="3"/>
  <c r="C19" i="3"/>
  <c r="C9" i="3"/>
  <c r="C45" i="3"/>
  <c r="C10" i="3"/>
  <c r="C58" i="3"/>
  <c r="C23" i="3"/>
  <c r="C14" i="3"/>
  <c r="C26" i="3"/>
  <c r="C38" i="3"/>
  <c r="C50" i="3"/>
  <c r="C62" i="3"/>
  <c r="C16" i="3"/>
  <c r="C28" i="3"/>
  <c r="C40" i="3"/>
  <c r="C52" i="3"/>
  <c r="C64" i="3"/>
  <c r="C5" i="3"/>
  <c r="C17" i="3"/>
  <c r="C29" i="3"/>
  <c r="C41" i="3"/>
  <c r="C53" i="3"/>
  <c r="C65" i="3"/>
  <c r="C6" i="3"/>
  <c r="C18" i="3"/>
  <c r="C30" i="3"/>
  <c r="C42" i="3"/>
  <c r="C54" i="3"/>
  <c r="G5" i="3"/>
  <c r="G6" i="3" s="1"/>
  <c r="G7" i="3" s="1"/>
  <c r="E27" i="4" l="1"/>
</calcChain>
</file>

<file path=xl/sharedStrings.xml><?xml version="1.0" encoding="utf-8"?>
<sst xmlns="http://schemas.openxmlformats.org/spreadsheetml/2006/main" count="831" uniqueCount="177">
  <si>
    <t>lower limit</t>
  </si>
  <si>
    <t>MAX</t>
  </si>
  <si>
    <t>Average</t>
  </si>
  <si>
    <t>Measurement</t>
  </si>
  <si>
    <t>σ</t>
  </si>
  <si>
    <t>3σ</t>
  </si>
  <si>
    <t>Cpk</t>
  </si>
  <si>
    <t>Cpk &lt; 0.67 : Need immediate improvement</t>
  </si>
  <si>
    <t>C19082</t>
  </si>
  <si>
    <t>Data section</t>
  </si>
  <si>
    <t>distribution</t>
  </si>
  <si>
    <t>Parameter:</t>
  </si>
  <si>
    <t>Temp.</t>
  </si>
  <si>
    <t>1400±10°C</t>
  </si>
  <si>
    <t>M/C</t>
  </si>
  <si>
    <t>Shift</t>
  </si>
  <si>
    <t>Date</t>
  </si>
  <si>
    <t>Sl.No</t>
  </si>
  <si>
    <t>Readings</t>
  </si>
  <si>
    <t>Min.</t>
  </si>
  <si>
    <t>Max.</t>
  </si>
  <si>
    <t>Count</t>
  </si>
  <si>
    <t>Interval</t>
  </si>
  <si>
    <t>Parameter</t>
  </si>
  <si>
    <t>Frequency</t>
  </si>
  <si>
    <t>Sum of frequency</t>
  </si>
  <si>
    <t>K00</t>
  </si>
  <si>
    <t>YC1-145</t>
  </si>
  <si>
    <t>NG</t>
  </si>
  <si>
    <t>C114571431000004</t>
  </si>
  <si>
    <t xml:space="preserve">OK  </t>
  </si>
  <si>
    <t>OK</t>
  </si>
  <si>
    <t>NG04</t>
  </si>
  <si>
    <t>Ch_Set ERROR</t>
  </si>
  <si>
    <t>NG03</t>
  </si>
  <si>
    <t>C114571446000037</t>
  </si>
  <si>
    <t>A1A11027</t>
  </si>
  <si>
    <t>NG00</t>
  </si>
  <si>
    <t>MXA Ref setting NG</t>
  </si>
  <si>
    <t>C114571446000038</t>
  </si>
  <si>
    <t>A1A11028</t>
  </si>
  <si>
    <t>C114571446000035</t>
  </si>
  <si>
    <t>A1A11029</t>
  </si>
  <si>
    <t>C114571446000040</t>
  </si>
  <si>
    <t>A1A11030</t>
  </si>
  <si>
    <t>C114571446000032</t>
  </si>
  <si>
    <t>A1A11023</t>
  </si>
  <si>
    <t>C114571446000030</t>
  </si>
  <si>
    <t>A1A11024</t>
  </si>
  <si>
    <t>C114571446000033</t>
  </si>
  <si>
    <t>A1A11025</t>
  </si>
  <si>
    <t>C114571446000036</t>
  </si>
  <si>
    <t>A1A11026</t>
  </si>
  <si>
    <t>C114571446000025</t>
  </si>
  <si>
    <t>A1A11019</t>
  </si>
  <si>
    <t>C114571446000026</t>
  </si>
  <si>
    <t>A1A11020</t>
  </si>
  <si>
    <t>C114571446000029</t>
  </si>
  <si>
    <t>A1A11021</t>
  </si>
  <si>
    <t>C114571446000027</t>
  </si>
  <si>
    <t>A1A11022</t>
  </si>
  <si>
    <t>Program Mode Start ERROR.</t>
  </si>
  <si>
    <t>C114571446000013</t>
  </si>
  <si>
    <t>A1A11015</t>
  </si>
  <si>
    <t>C114571446000012</t>
  </si>
  <si>
    <t>A1A11016</t>
  </si>
  <si>
    <t>C114571446000022</t>
  </si>
  <si>
    <t>A1A11017</t>
  </si>
  <si>
    <t>C114571446000023</t>
  </si>
  <si>
    <t>A1A11018</t>
  </si>
  <si>
    <t>C114571446000011</t>
  </si>
  <si>
    <t>A1A11010</t>
  </si>
  <si>
    <t>C114571446000010</t>
  </si>
  <si>
    <t>A1A11012</t>
  </si>
  <si>
    <t>C114571446000021</t>
  </si>
  <si>
    <t>A1A11013</t>
  </si>
  <si>
    <t>C114571446000015</t>
  </si>
  <si>
    <t>A1A11014</t>
  </si>
  <si>
    <t>C114571446000070</t>
  </si>
  <si>
    <t>A1A11063</t>
  </si>
  <si>
    <t>C114571446000068</t>
  </si>
  <si>
    <t>NG06</t>
  </si>
  <si>
    <t>A1A11062</t>
  </si>
  <si>
    <t>TRANSCEIVER_INFORMATION_REQUEST ERROR</t>
  </si>
  <si>
    <t>C114571446000069</t>
  </si>
  <si>
    <t>A1A11061</t>
  </si>
  <si>
    <t>C114571446000066</t>
  </si>
  <si>
    <t>A1A11060</t>
  </si>
  <si>
    <t>C114571446000073</t>
  </si>
  <si>
    <t>A1A11067</t>
  </si>
  <si>
    <t>C114571446000072</t>
  </si>
  <si>
    <t>A1A11066</t>
  </si>
  <si>
    <t>C114571446000052</t>
  </si>
  <si>
    <t>A1A11065</t>
  </si>
  <si>
    <t>C114571446000071</t>
  </si>
  <si>
    <t>A1A11064</t>
  </si>
  <si>
    <t>C114571446000078</t>
  </si>
  <si>
    <t>A1A11071</t>
  </si>
  <si>
    <t>C114571446000076</t>
  </si>
  <si>
    <t>A1A11070</t>
  </si>
  <si>
    <t>C114571446000058</t>
  </si>
  <si>
    <t>A1A11069</t>
  </si>
  <si>
    <t>C114571446000081</t>
  </si>
  <si>
    <t>A1A11075</t>
  </si>
  <si>
    <t>C114571446000079</t>
  </si>
  <si>
    <t>A1A11073</t>
  </si>
  <si>
    <t>C114571446000075</t>
  </si>
  <si>
    <t>A1A11072</t>
  </si>
  <si>
    <t>C114571446000085</t>
  </si>
  <si>
    <t>A1A11079</t>
  </si>
  <si>
    <t>Digit_Spec_NG</t>
  </si>
  <si>
    <t>C114571446000084</t>
  </si>
  <si>
    <t>A1A11078</t>
  </si>
  <si>
    <t>C114571446000083</t>
  </si>
  <si>
    <t>A1A11076</t>
  </si>
  <si>
    <t>C114571446000082</t>
  </si>
  <si>
    <t>A1A11077</t>
  </si>
  <si>
    <t>C114571446000101</t>
  </si>
  <si>
    <t>A1A11097</t>
  </si>
  <si>
    <t>C114571446000102</t>
  </si>
  <si>
    <t>A1A11098</t>
  </si>
  <si>
    <t>C114571446000108</t>
  </si>
  <si>
    <t>A1A11099</t>
  </si>
  <si>
    <t>C114571446000103</t>
  </si>
  <si>
    <t>A1A11100</t>
  </si>
  <si>
    <t>C114571446000097</t>
  </si>
  <si>
    <t>A1A11093</t>
  </si>
  <si>
    <t>C114571446000099</t>
  </si>
  <si>
    <t>A1A11094</t>
  </si>
  <si>
    <t>C114571446000098</t>
  </si>
  <si>
    <t>A1A11095</t>
  </si>
  <si>
    <t>C114571446000100</t>
  </si>
  <si>
    <t>A1A11096</t>
  </si>
  <si>
    <t>C114571446000093</t>
  </si>
  <si>
    <t>A1A11088</t>
  </si>
  <si>
    <t>C114571446000094</t>
  </si>
  <si>
    <t>A1A11089</t>
  </si>
  <si>
    <t>C114571446000095</t>
  </si>
  <si>
    <t>A1A11090</t>
  </si>
  <si>
    <t>C114571446000096</t>
  </si>
  <si>
    <t>A1A11091</t>
  </si>
  <si>
    <t>C114571446000092</t>
  </si>
  <si>
    <t>A1A11087</t>
  </si>
  <si>
    <t>C114571446000087</t>
  </si>
  <si>
    <t>A1A11084</t>
  </si>
  <si>
    <t>C114571446000090</t>
  </si>
  <si>
    <t>A1A11085</t>
  </si>
  <si>
    <t>C114571446000091</t>
  </si>
  <si>
    <t>A1A11086</t>
  </si>
  <si>
    <t>C114571446000089</t>
  </si>
  <si>
    <t>A1A11083</t>
  </si>
  <si>
    <t>C114571446000074</t>
  </si>
  <si>
    <t>A1A11080</t>
  </si>
  <si>
    <t>C114571446000086</t>
  </si>
  <si>
    <t>A1A11081</t>
  </si>
  <si>
    <t>C114571446000088</t>
  </si>
  <si>
    <t>A1A11082</t>
  </si>
  <si>
    <t>C114571446000028</t>
  </si>
  <si>
    <t>A1A11031</t>
  </si>
  <si>
    <t>C114571446000024</t>
  </si>
  <si>
    <t>A1A11034</t>
  </si>
  <si>
    <t>C114571446000014</t>
  </si>
  <si>
    <t>A1A11045</t>
  </si>
  <si>
    <t>C114571446000043</t>
  </si>
  <si>
    <t>A1A11033</t>
  </si>
  <si>
    <t>C114571446000047</t>
  </si>
  <si>
    <t>A1A11037</t>
  </si>
  <si>
    <t>C114571446000031</t>
  </si>
  <si>
    <t>A1A11039</t>
  </si>
  <si>
    <t>C114571446000039</t>
  </si>
  <si>
    <t>A1A11038</t>
  </si>
  <si>
    <t>C114571446000041</t>
  </si>
  <si>
    <t>A1A11041</t>
  </si>
  <si>
    <t>C114571446000016</t>
  </si>
  <si>
    <t>A1A11092</t>
  </si>
  <si>
    <t>C114571446000034</t>
  </si>
  <si>
    <t>A1A11044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</si>
</sst>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color rgb="FFFF0000"/>
      <name val="Calibri"/>
      <family val="3"/>
      <charset val="128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4" fillId="0" borderId="0">
      <alignment vertical="center"/>
    </xf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right"/>
    </xf>
    <xf numFmtId="2" fontId="0" fillId="0" borderId="0" xfId="0" applyNumberFormat="1"/>
    <xf numFmtId="0" fontId="3" fillId="0" borderId="0" xfId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6" fillId="0" borderId="0" xfId="0" applyFont="1"/>
    <xf numFmtId="0" fontId="3" fillId="0" borderId="1" xfId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2" xfId="0" applyFill="1" applyBorder="1"/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0" fillId="0" borderId="0" xfId="0" applyNumberFormat="1"/>
    <xf numFmtId="164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0" borderId="0" xfId="3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14" fontId="0" fillId="0" borderId="0" xfId="0" applyNumberFormat="1"/>
    <xf numFmtId="21" fontId="0" fillId="0" borderId="0" xfId="0" applyNumberFormat="1"/>
    <xf numFmtId="22" fontId="0" fillId="0" borderId="0" xfId="0" applyNumberFormat="1"/>
    <xf numFmtId="16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</cellXfs>
  <cellStyles count="4">
    <cellStyle name="Hyperlink 2" xfId="3" xr:uid="{69B12648-31EC-43FC-93CD-060C8839BDBF}"/>
    <cellStyle name="Normal" xfId="0" builtinId="0"/>
    <cellStyle name="標準 2" xfId="1" xr:uid="{98B35EE7-3D27-4F83-BB1C-1A2BC7C2FA88}"/>
    <cellStyle name="標準 2 2" xfId="2" xr:uid="{B7AE55CB-4094-48FA-A650-4E7453EE194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RX Sensitivity 2 (L) Measurement</a:t>
            </a:r>
            <a:r>
              <a:rPr lang="en-US" baseline="0"/>
              <a:t> </a:t>
            </a:r>
            <a:r>
              <a:rPr lang="en-US"/>
              <a:t>-</a:t>
            </a:r>
            <a:r>
              <a:rPr lang="en-US" baseline="0"/>
              <a:t> NG08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DAT!$C$5:$C$65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7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6</c:v>
                </c:pt>
                <c:pt idx="26">
                  <c:v>5</c:v>
                </c:pt>
                <c:pt idx="27">
                  <c:v>4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1</c:v>
                </c:pt>
                <c:pt idx="44">
                  <c:v>7</c:v>
                </c:pt>
                <c:pt idx="45">
                  <c:v>4</c:v>
                </c:pt>
                <c:pt idx="46">
                  <c:v>0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6B9-9DD8-43AEE04BE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88599487"/>
        <c:axId val="1284304223"/>
      </c:barChart>
      <c:catAx>
        <c:axId val="1288599487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304223"/>
        <c:crosses val="autoZero"/>
        <c:auto val="1"/>
        <c:lblAlgn val="ctr"/>
        <c:lblOffset val="100"/>
        <c:noMultiLvlLbl val="0"/>
      </c:catAx>
      <c:valAx>
        <c:axId val="128430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59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RX Sensitivity 2 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DAT!$D$5:$D$153</c:f>
              <c:numCache>
                <c:formatCode>0.00</c:formatCode>
                <c:ptCount val="149"/>
                <c:pt idx="0">
                  <c:v>12.23</c:v>
                </c:pt>
                <c:pt idx="1">
                  <c:v>12.22</c:v>
                </c:pt>
                <c:pt idx="2">
                  <c:v>12.19</c:v>
                </c:pt>
                <c:pt idx="3">
                  <c:v>12.01</c:v>
                </c:pt>
                <c:pt idx="4">
                  <c:v>12.69</c:v>
                </c:pt>
                <c:pt idx="5">
                  <c:v>12.91</c:v>
                </c:pt>
                <c:pt idx="6">
                  <c:v>12.45</c:v>
                </c:pt>
                <c:pt idx="7">
                  <c:v>12.3</c:v>
                </c:pt>
                <c:pt idx="8">
                  <c:v>12.36</c:v>
                </c:pt>
                <c:pt idx="9">
                  <c:v>12.1</c:v>
                </c:pt>
                <c:pt idx="10">
                  <c:v>12.42</c:v>
                </c:pt>
                <c:pt idx="11">
                  <c:v>12.99</c:v>
                </c:pt>
                <c:pt idx="12">
                  <c:v>12.59</c:v>
                </c:pt>
                <c:pt idx="13">
                  <c:v>12.37</c:v>
                </c:pt>
                <c:pt idx="14">
                  <c:v>12.33</c:v>
                </c:pt>
                <c:pt idx="15">
                  <c:v>12.83</c:v>
                </c:pt>
                <c:pt idx="16">
                  <c:v>12.2</c:v>
                </c:pt>
                <c:pt idx="17">
                  <c:v>12.44</c:v>
                </c:pt>
                <c:pt idx="18">
                  <c:v>12.78</c:v>
                </c:pt>
                <c:pt idx="19">
                  <c:v>12.1</c:v>
                </c:pt>
                <c:pt idx="20">
                  <c:v>12.85</c:v>
                </c:pt>
                <c:pt idx="21">
                  <c:v>12.39</c:v>
                </c:pt>
                <c:pt idx="22">
                  <c:v>12.72</c:v>
                </c:pt>
                <c:pt idx="23">
                  <c:v>12.44</c:v>
                </c:pt>
                <c:pt idx="24">
                  <c:v>12.11</c:v>
                </c:pt>
                <c:pt idx="25">
                  <c:v>12.06</c:v>
                </c:pt>
                <c:pt idx="26">
                  <c:v>12.91</c:v>
                </c:pt>
                <c:pt idx="27">
                  <c:v>12.24</c:v>
                </c:pt>
                <c:pt idx="28">
                  <c:v>12.39</c:v>
                </c:pt>
                <c:pt idx="29">
                  <c:v>12.52</c:v>
                </c:pt>
                <c:pt idx="30">
                  <c:v>12.01</c:v>
                </c:pt>
                <c:pt idx="31">
                  <c:v>12.3</c:v>
                </c:pt>
                <c:pt idx="32">
                  <c:v>12.44</c:v>
                </c:pt>
                <c:pt idx="33">
                  <c:v>12.42</c:v>
                </c:pt>
                <c:pt idx="34">
                  <c:v>12.53</c:v>
                </c:pt>
                <c:pt idx="35">
                  <c:v>12.28</c:v>
                </c:pt>
                <c:pt idx="36">
                  <c:v>12.4</c:v>
                </c:pt>
                <c:pt idx="37">
                  <c:v>12.84</c:v>
                </c:pt>
                <c:pt idx="38">
                  <c:v>12.34</c:v>
                </c:pt>
                <c:pt idx="39">
                  <c:v>12.71</c:v>
                </c:pt>
                <c:pt idx="40">
                  <c:v>12.26</c:v>
                </c:pt>
                <c:pt idx="41">
                  <c:v>12.77</c:v>
                </c:pt>
                <c:pt idx="42">
                  <c:v>12.29</c:v>
                </c:pt>
                <c:pt idx="43">
                  <c:v>12.23</c:v>
                </c:pt>
                <c:pt idx="44">
                  <c:v>12.96</c:v>
                </c:pt>
                <c:pt idx="45">
                  <c:v>12.4</c:v>
                </c:pt>
                <c:pt idx="46">
                  <c:v>12.53</c:v>
                </c:pt>
                <c:pt idx="47">
                  <c:v>12.36</c:v>
                </c:pt>
                <c:pt idx="48">
                  <c:v>12.14</c:v>
                </c:pt>
                <c:pt idx="49">
                  <c:v>12.02</c:v>
                </c:pt>
                <c:pt idx="50">
                  <c:v>12.71</c:v>
                </c:pt>
                <c:pt idx="51">
                  <c:v>12.59</c:v>
                </c:pt>
                <c:pt idx="52">
                  <c:v>12.78</c:v>
                </c:pt>
                <c:pt idx="53">
                  <c:v>12.9</c:v>
                </c:pt>
                <c:pt idx="54">
                  <c:v>12.31</c:v>
                </c:pt>
                <c:pt idx="55">
                  <c:v>12.2</c:v>
                </c:pt>
                <c:pt idx="56">
                  <c:v>12.98</c:v>
                </c:pt>
                <c:pt idx="57">
                  <c:v>12.4</c:v>
                </c:pt>
                <c:pt idx="58">
                  <c:v>12.14</c:v>
                </c:pt>
                <c:pt idx="59">
                  <c:v>12.79</c:v>
                </c:pt>
                <c:pt idx="60">
                  <c:v>12.01</c:v>
                </c:pt>
                <c:pt idx="61">
                  <c:v>12.34</c:v>
                </c:pt>
                <c:pt idx="62">
                  <c:v>12.67</c:v>
                </c:pt>
                <c:pt idx="63">
                  <c:v>12.75</c:v>
                </c:pt>
                <c:pt idx="64">
                  <c:v>12.62</c:v>
                </c:pt>
                <c:pt idx="65">
                  <c:v>12.55</c:v>
                </c:pt>
                <c:pt idx="66">
                  <c:v>12.62</c:v>
                </c:pt>
                <c:pt idx="67">
                  <c:v>12.21</c:v>
                </c:pt>
                <c:pt idx="68">
                  <c:v>12</c:v>
                </c:pt>
                <c:pt idx="69">
                  <c:v>12.05</c:v>
                </c:pt>
                <c:pt idx="70">
                  <c:v>12.06</c:v>
                </c:pt>
                <c:pt idx="71">
                  <c:v>12.9</c:v>
                </c:pt>
                <c:pt idx="72">
                  <c:v>12.52</c:v>
                </c:pt>
                <c:pt idx="73">
                  <c:v>12.55</c:v>
                </c:pt>
                <c:pt idx="74">
                  <c:v>12.07</c:v>
                </c:pt>
                <c:pt idx="75">
                  <c:v>12.7</c:v>
                </c:pt>
                <c:pt idx="76">
                  <c:v>12.7</c:v>
                </c:pt>
                <c:pt idx="77">
                  <c:v>12.93</c:v>
                </c:pt>
                <c:pt idx="78">
                  <c:v>12.04</c:v>
                </c:pt>
                <c:pt idx="79">
                  <c:v>12.21</c:v>
                </c:pt>
                <c:pt idx="80">
                  <c:v>12.12</c:v>
                </c:pt>
                <c:pt idx="81">
                  <c:v>12.32</c:v>
                </c:pt>
                <c:pt idx="82">
                  <c:v>12.14</c:v>
                </c:pt>
                <c:pt idx="83">
                  <c:v>12.73</c:v>
                </c:pt>
                <c:pt idx="84">
                  <c:v>12.92</c:v>
                </c:pt>
                <c:pt idx="85">
                  <c:v>12.45</c:v>
                </c:pt>
                <c:pt idx="86">
                  <c:v>12.09</c:v>
                </c:pt>
                <c:pt idx="87">
                  <c:v>12.31</c:v>
                </c:pt>
                <c:pt idx="88">
                  <c:v>12.8</c:v>
                </c:pt>
                <c:pt idx="89">
                  <c:v>12.23</c:v>
                </c:pt>
                <c:pt idx="90">
                  <c:v>12.42</c:v>
                </c:pt>
                <c:pt idx="91">
                  <c:v>12.08</c:v>
                </c:pt>
                <c:pt idx="92">
                  <c:v>12.52</c:v>
                </c:pt>
                <c:pt idx="93">
                  <c:v>12.04</c:v>
                </c:pt>
                <c:pt idx="94">
                  <c:v>12.57</c:v>
                </c:pt>
                <c:pt idx="95">
                  <c:v>12.66</c:v>
                </c:pt>
                <c:pt idx="96">
                  <c:v>12.04</c:v>
                </c:pt>
                <c:pt idx="97">
                  <c:v>12.85</c:v>
                </c:pt>
                <c:pt idx="98">
                  <c:v>12.8</c:v>
                </c:pt>
                <c:pt idx="99">
                  <c:v>12.38</c:v>
                </c:pt>
                <c:pt idx="100">
                  <c:v>12.04</c:v>
                </c:pt>
                <c:pt idx="101">
                  <c:v>12.28</c:v>
                </c:pt>
                <c:pt idx="102">
                  <c:v>12.12</c:v>
                </c:pt>
                <c:pt idx="103">
                  <c:v>12.35</c:v>
                </c:pt>
                <c:pt idx="104">
                  <c:v>12.22</c:v>
                </c:pt>
                <c:pt idx="105">
                  <c:v>12.24</c:v>
                </c:pt>
                <c:pt idx="106">
                  <c:v>12.59</c:v>
                </c:pt>
                <c:pt idx="107">
                  <c:v>12.31</c:v>
                </c:pt>
                <c:pt idx="108">
                  <c:v>12.22</c:v>
                </c:pt>
                <c:pt idx="109">
                  <c:v>12.31</c:v>
                </c:pt>
                <c:pt idx="110">
                  <c:v>12.38</c:v>
                </c:pt>
                <c:pt idx="111">
                  <c:v>12.05</c:v>
                </c:pt>
                <c:pt idx="112">
                  <c:v>12.07</c:v>
                </c:pt>
                <c:pt idx="113">
                  <c:v>12.06</c:v>
                </c:pt>
                <c:pt idx="114">
                  <c:v>12.43</c:v>
                </c:pt>
                <c:pt idx="115">
                  <c:v>12.19</c:v>
                </c:pt>
                <c:pt idx="116">
                  <c:v>12.32</c:v>
                </c:pt>
                <c:pt idx="117">
                  <c:v>12.25</c:v>
                </c:pt>
                <c:pt idx="118">
                  <c:v>12.78</c:v>
                </c:pt>
                <c:pt idx="119">
                  <c:v>12.69</c:v>
                </c:pt>
                <c:pt idx="120">
                  <c:v>12.5</c:v>
                </c:pt>
                <c:pt idx="121">
                  <c:v>12.23</c:v>
                </c:pt>
                <c:pt idx="122">
                  <c:v>12.53</c:v>
                </c:pt>
                <c:pt idx="123">
                  <c:v>12.31</c:v>
                </c:pt>
                <c:pt idx="124">
                  <c:v>12.08</c:v>
                </c:pt>
                <c:pt idx="125">
                  <c:v>12.45</c:v>
                </c:pt>
                <c:pt idx="126">
                  <c:v>12.58</c:v>
                </c:pt>
                <c:pt idx="127">
                  <c:v>12.83</c:v>
                </c:pt>
                <c:pt idx="128">
                  <c:v>12.41</c:v>
                </c:pt>
                <c:pt idx="129">
                  <c:v>12.88</c:v>
                </c:pt>
                <c:pt idx="130">
                  <c:v>12.54</c:v>
                </c:pt>
                <c:pt idx="131">
                  <c:v>12.23</c:v>
                </c:pt>
                <c:pt idx="132">
                  <c:v>12.06</c:v>
                </c:pt>
                <c:pt idx="133">
                  <c:v>12.64</c:v>
                </c:pt>
                <c:pt idx="134">
                  <c:v>12.95</c:v>
                </c:pt>
                <c:pt idx="135">
                  <c:v>12.42</c:v>
                </c:pt>
                <c:pt idx="136">
                  <c:v>12.88</c:v>
                </c:pt>
                <c:pt idx="137">
                  <c:v>12.79</c:v>
                </c:pt>
                <c:pt idx="138">
                  <c:v>12.07</c:v>
                </c:pt>
                <c:pt idx="139">
                  <c:v>12.11</c:v>
                </c:pt>
                <c:pt idx="140">
                  <c:v>12.77</c:v>
                </c:pt>
                <c:pt idx="141">
                  <c:v>12.48</c:v>
                </c:pt>
                <c:pt idx="142">
                  <c:v>12.15</c:v>
                </c:pt>
                <c:pt idx="143">
                  <c:v>12.14</c:v>
                </c:pt>
                <c:pt idx="144">
                  <c:v>12.4</c:v>
                </c:pt>
                <c:pt idx="145">
                  <c:v>12.77</c:v>
                </c:pt>
                <c:pt idx="146">
                  <c:v>12.2</c:v>
                </c:pt>
                <c:pt idx="147">
                  <c:v>12.78</c:v>
                </c:pt>
                <c:pt idx="148">
                  <c:v>12.02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1-4A34-846D-F74B20CA5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924400"/>
        <c:axId val="661173232"/>
      </c:scatterChart>
      <c:valAx>
        <c:axId val="181392440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73232"/>
        <c:crosses val="autoZero"/>
        <c:crossBetween val="midCat"/>
      </c:valAx>
      <c:valAx>
        <c:axId val="661173232"/>
        <c:scaling>
          <c:orientation val="minMax"/>
          <c:max val="15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RX Sensitivity 2 (L) Digit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2440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Sheet1!$D$10:$D$25</c:f>
              <c:numCache>
                <c:formatCode>0.0</c:formatCode>
                <c:ptCount val="16"/>
                <c:pt idx="0">
                  <c:v>11.670000000000002</c:v>
                </c:pt>
                <c:pt idx="1">
                  <c:v>11.780000000000001</c:v>
                </c:pt>
                <c:pt idx="2">
                  <c:v>11.89</c:v>
                </c:pt>
                <c:pt idx="3" formatCode="General">
                  <c:v>12</c:v>
                </c:pt>
                <c:pt idx="4">
                  <c:v>12.11</c:v>
                </c:pt>
                <c:pt idx="5">
                  <c:v>12.219999999999999</c:v>
                </c:pt>
                <c:pt idx="6">
                  <c:v>12.329999999999998</c:v>
                </c:pt>
                <c:pt idx="7">
                  <c:v>12.439999999999998</c:v>
                </c:pt>
                <c:pt idx="8">
                  <c:v>12.549999999999997</c:v>
                </c:pt>
                <c:pt idx="9">
                  <c:v>12.659999999999997</c:v>
                </c:pt>
                <c:pt idx="10">
                  <c:v>12.769999999999996</c:v>
                </c:pt>
                <c:pt idx="11">
                  <c:v>12.879999999999995</c:v>
                </c:pt>
                <c:pt idx="12">
                  <c:v>12.989999999999995</c:v>
                </c:pt>
                <c:pt idx="13">
                  <c:v>13.099999999999994</c:v>
                </c:pt>
                <c:pt idx="14">
                  <c:v>13.209999999999994</c:v>
                </c:pt>
                <c:pt idx="15">
                  <c:v>13.319999999999993</c:v>
                </c:pt>
              </c:numCache>
            </c:numRef>
          </c:cat>
          <c:val>
            <c:numRef>
              <c:f>Sheet1!$E$10:$E$25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26</c:v>
                </c:pt>
                <c:pt idx="5">
                  <c:v>14</c:v>
                </c:pt>
                <c:pt idx="6">
                  <c:v>24</c:v>
                </c:pt>
                <c:pt idx="7">
                  <c:v>21</c:v>
                </c:pt>
                <c:pt idx="8">
                  <c:v>15</c:v>
                </c:pt>
                <c:pt idx="9">
                  <c:v>10</c:v>
                </c:pt>
                <c:pt idx="10">
                  <c:v>11</c:v>
                </c:pt>
                <c:pt idx="11">
                  <c:v>16</c:v>
                </c:pt>
                <c:pt idx="12">
                  <c:v>11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1-4C4F-80DA-441B0296A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7"/>
        <c:axId val="539670520"/>
        <c:axId val="539671800"/>
      </c:barChart>
      <c:catAx>
        <c:axId val="53967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Parameters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1800"/>
        <c:crosses val="autoZero"/>
        <c:auto val="1"/>
        <c:lblAlgn val="ctr"/>
        <c:lblOffset val="100"/>
        <c:noMultiLvlLbl val="0"/>
      </c:catAx>
      <c:valAx>
        <c:axId val="53967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05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</xdr:row>
      <xdr:rowOff>0</xdr:rowOff>
    </xdr:from>
    <xdr:to>
      <xdr:col>15</xdr:col>
      <xdr:colOff>128068</xdr:colOff>
      <xdr:row>32</xdr:row>
      <xdr:rowOff>21292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15</xdr:col>
      <xdr:colOff>133672</xdr:colOff>
      <xdr:row>51</xdr:row>
      <xdr:rowOff>88528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2</xdr:row>
      <xdr:rowOff>160020</xdr:rowOff>
    </xdr:from>
    <xdr:to>
      <xdr:col>12</xdr:col>
      <xdr:colOff>0</xdr:colOff>
      <xdr:row>19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1E03A-E35C-43CF-B6E5-E0E7CDBB9AC9}">
  <dimension ref="A2:S97"/>
  <sheetViews>
    <sheetView workbookViewId="0"/>
  </sheetViews>
  <sheetFormatPr defaultRowHeight="15"/>
  <sheetData>
    <row r="2" spans="1:19">
      <c r="A2">
        <v>71446</v>
      </c>
      <c r="B2" t="s">
        <v>26</v>
      </c>
      <c r="C2" t="s">
        <v>29</v>
      </c>
      <c r="D2">
        <v>0</v>
      </c>
      <c r="E2" s="24">
        <v>45088</v>
      </c>
      <c r="F2" s="25">
        <v>0.46293981481481478</v>
      </c>
      <c r="G2" t="s">
        <v>27</v>
      </c>
      <c r="H2" t="s">
        <v>32</v>
      </c>
      <c r="I2">
        <v>99999999</v>
      </c>
      <c r="K2" t="s">
        <v>31</v>
      </c>
      <c r="L2" t="s">
        <v>31</v>
      </c>
      <c r="M2">
        <v>64</v>
      </c>
      <c r="N2">
        <v>0</v>
      </c>
      <c r="Q2" s="26">
        <v>45088.45925925926</v>
      </c>
      <c r="S2" t="s">
        <v>33</v>
      </c>
    </row>
    <row r="3" spans="1:19">
      <c r="A3">
        <v>71446</v>
      </c>
      <c r="B3" t="s">
        <v>26</v>
      </c>
      <c r="C3" t="s">
        <v>29</v>
      </c>
      <c r="D3">
        <v>0</v>
      </c>
      <c r="E3" s="24">
        <v>45088</v>
      </c>
      <c r="F3" s="25">
        <v>0.46393518518518517</v>
      </c>
      <c r="G3" t="s">
        <v>27</v>
      </c>
      <c r="H3" t="s">
        <v>32</v>
      </c>
      <c r="I3">
        <v>99999999</v>
      </c>
      <c r="K3" t="s">
        <v>31</v>
      </c>
      <c r="L3" t="s">
        <v>31</v>
      </c>
      <c r="M3">
        <v>64</v>
      </c>
      <c r="N3">
        <v>0</v>
      </c>
      <c r="Q3" s="26">
        <v>45088.463055555556</v>
      </c>
      <c r="S3" t="s">
        <v>33</v>
      </c>
    </row>
    <row r="4" spans="1:19">
      <c r="A4">
        <v>71446</v>
      </c>
      <c r="B4" t="s">
        <v>26</v>
      </c>
      <c r="C4" t="s">
        <v>29</v>
      </c>
      <c r="D4">
        <v>0</v>
      </c>
      <c r="E4" s="24">
        <v>45088</v>
      </c>
      <c r="F4" s="25">
        <v>0.46684027777777781</v>
      </c>
      <c r="G4" t="s">
        <v>27</v>
      </c>
      <c r="H4" t="s">
        <v>34</v>
      </c>
      <c r="I4">
        <v>99999999</v>
      </c>
      <c r="J4" t="s">
        <v>31</v>
      </c>
      <c r="K4" t="s">
        <v>31</v>
      </c>
      <c r="M4">
        <v>0</v>
      </c>
      <c r="Q4" s="26">
        <v>45088.466134259259</v>
      </c>
      <c r="S4" t="s">
        <v>33</v>
      </c>
    </row>
    <row r="5" spans="1:19">
      <c r="A5">
        <v>71446</v>
      </c>
      <c r="B5" t="s">
        <v>26</v>
      </c>
      <c r="C5" t="s">
        <v>29</v>
      </c>
      <c r="D5">
        <v>0</v>
      </c>
      <c r="E5" s="24">
        <v>45088</v>
      </c>
      <c r="F5" s="25">
        <v>0.47056712962962965</v>
      </c>
      <c r="G5" t="s">
        <v>27</v>
      </c>
      <c r="H5" t="s">
        <v>30</v>
      </c>
      <c r="I5">
        <v>99999999</v>
      </c>
      <c r="J5" t="s">
        <v>31</v>
      </c>
      <c r="K5" t="s">
        <v>31</v>
      </c>
      <c r="L5" t="s">
        <v>31</v>
      </c>
      <c r="M5">
        <v>61</v>
      </c>
      <c r="N5">
        <v>58</v>
      </c>
      <c r="P5" t="s">
        <v>31</v>
      </c>
      <c r="Q5" s="26">
        <v>45088.469513888886</v>
      </c>
    </row>
    <row r="6" spans="1:19">
      <c r="A6">
        <v>71446</v>
      </c>
      <c r="B6" t="s">
        <v>26</v>
      </c>
      <c r="C6" t="s">
        <v>35</v>
      </c>
      <c r="D6">
        <v>1111111100000000</v>
      </c>
      <c r="E6" s="24">
        <v>45088</v>
      </c>
      <c r="F6" s="25">
        <v>0.48613425925925924</v>
      </c>
      <c r="G6" t="s">
        <v>27</v>
      </c>
      <c r="H6" t="s">
        <v>30</v>
      </c>
      <c r="I6" t="s">
        <v>36</v>
      </c>
      <c r="J6" t="s">
        <v>31</v>
      </c>
      <c r="K6" t="s">
        <v>31</v>
      </c>
      <c r="L6" t="s">
        <v>31</v>
      </c>
      <c r="M6">
        <v>61</v>
      </c>
      <c r="N6">
        <v>57</v>
      </c>
      <c r="P6" t="s">
        <v>31</v>
      </c>
      <c r="Q6" s="26">
        <v>45088.484988425924</v>
      </c>
    </row>
    <row r="7" spans="1:19">
      <c r="A7">
        <v>71446</v>
      </c>
      <c r="B7" t="s">
        <v>26</v>
      </c>
      <c r="C7">
        <v>0</v>
      </c>
      <c r="D7">
        <v>0</v>
      </c>
      <c r="E7" s="24">
        <v>45088</v>
      </c>
      <c r="F7" s="25">
        <v>0.48844907407407406</v>
      </c>
      <c r="G7" t="s">
        <v>27</v>
      </c>
      <c r="H7" t="s">
        <v>37</v>
      </c>
      <c r="I7" t="s">
        <v>36</v>
      </c>
      <c r="P7" s="26">
        <v>45088.487256944441</v>
      </c>
      <c r="R7" t="s">
        <v>38</v>
      </c>
    </row>
    <row r="8" spans="1:19">
      <c r="A8">
        <v>71446</v>
      </c>
      <c r="B8" t="s">
        <v>26</v>
      </c>
      <c r="C8" t="s">
        <v>35</v>
      </c>
      <c r="D8">
        <v>1111111100000000</v>
      </c>
      <c r="E8" s="24">
        <v>45088</v>
      </c>
      <c r="F8" s="25">
        <v>0.48943287037037037</v>
      </c>
      <c r="G8" t="s">
        <v>27</v>
      </c>
      <c r="H8" t="s">
        <v>30</v>
      </c>
      <c r="I8" t="s">
        <v>36</v>
      </c>
      <c r="J8" t="s">
        <v>31</v>
      </c>
      <c r="K8" t="s">
        <v>31</v>
      </c>
      <c r="L8" t="s">
        <v>31</v>
      </c>
      <c r="M8">
        <v>61</v>
      </c>
      <c r="N8">
        <v>57</v>
      </c>
      <c r="P8" t="s">
        <v>31</v>
      </c>
      <c r="Q8" s="26">
        <v>45088.48846064815</v>
      </c>
    </row>
    <row r="9" spans="1:19">
      <c r="A9">
        <v>71446</v>
      </c>
      <c r="B9" t="s">
        <v>26</v>
      </c>
      <c r="C9" t="s">
        <v>39</v>
      </c>
      <c r="D9">
        <v>1111111100000000</v>
      </c>
      <c r="E9" s="24">
        <v>45088</v>
      </c>
      <c r="F9" s="25">
        <v>0.4926388888888889</v>
      </c>
      <c r="G9" t="s">
        <v>27</v>
      </c>
      <c r="H9" t="s">
        <v>30</v>
      </c>
      <c r="I9" t="s">
        <v>40</v>
      </c>
      <c r="J9" t="s">
        <v>31</v>
      </c>
      <c r="K9" t="s">
        <v>31</v>
      </c>
      <c r="L9" t="s">
        <v>31</v>
      </c>
      <c r="M9">
        <v>70</v>
      </c>
      <c r="N9">
        <v>61</v>
      </c>
      <c r="P9" t="s">
        <v>31</v>
      </c>
      <c r="Q9" s="26">
        <v>45088.491759259261</v>
      </c>
    </row>
    <row r="10" spans="1:19">
      <c r="A10">
        <v>71446</v>
      </c>
      <c r="B10" t="s">
        <v>26</v>
      </c>
      <c r="C10" t="s">
        <v>41</v>
      </c>
      <c r="D10">
        <v>1111111100000000</v>
      </c>
      <c r="E10" s="24">
        <v>45088</v>
      </c>
      <c r="F10" s="25">
        <v>0.49412037037037032</v>
      </c>
      <c r="G10" t="s">
        <v>27</v>
      </c>
      <c r="H10" t="s">
        <v>30</v>
      </c>
      <c r="I10" t="s">
        <v>42</v>
      </c>
      <c r="J10" t="s">
        <v>31</v>
      </c>
      <c r="K10" t="s">
        <v>31</v>
      </c>
      <c r="L10" t="s">
        <v>31</v>
      </c>
      <c r="M10">
        <v>66</v>
      </c>
      <c r="N10">
        <v>59</v>
      </c>
      <c r="P10" t="s">
        <v>31</v>
      </c>
      <c r="Q10" s="26">
        <v>45088.49322916667</v>
      </c>
    </row>
    <row r="11" spans="1:19">
      <c r="A11">
        <v>71446</v>
      </c>
      <c r="B11" t="s">
        <v>26</v>
      </c>
      <c r="C11" t="s">
        <v>43</v>
      </c>
      <c r="D11">
        <v>1111111100000000</v>
      </c>
      <c r="E11" s="24">
        <v>45088</v>
      </c>
      <c r="F11" s="25">
        <v>0.49611111111111111</v>
      </c>
      <c r="G11" t="s">
        <v>27</v>
      </c>
      <c r="H11" t="s">
        <v>30</v>
      </c>
      <c r="I11" t="s">
        <v>44</v>
      </c>
      <c r="J11" t="s">
        <v>31</v>
      </c>
      <c r="K11" t="s">
        <v>31</v>
      </c>
      <c r="L11" t="s">
        <v>31</v>
      </c>
      <c r="M11">
        <v>64</v>
      </c>
      <c r="N11">
        <v>58</v>
      </c>
      <c r="P11" t="s">
        <v>31</v>
      </c>
      <c r="Q11" s="26">
        <v>45088.49523148148</v>
      </c>
    </row>
    <row r="12" spans="1:19">
      <c r="A12">
        <v>71446</v>
      </c>
      <c r="B12" t="s">
        <v>26</v>
      </c>
      <c r="C12" t="s">
        <v>45</v>
      </c>
      <c r="D12">
        <v>1111111100000000</v>
      </c>
      <c r="E12" s="24">
        <v>45088</v>
      </c>
      <c r="F12" s="25">
        <v>0.49782407407407409</v>
      </c>
      <c r="G12" t="s">
        <v>27</v>
      </c>
      <c r="H12" t="s">
        <v>30</v>
      </c>
      <c r="I12" t="s">
        <v>46</v>
      </c>
      <c r="J12" t="s">
        <v>31</v>
      </c>
      <c r="K12" t="s">
        <v>31</v>
      </c>
      <c r="L12" t="s">
        <v>31</v>
      </c>
      <c r="M12">
        <v>76</v>
      </c>
      <c r="N12">
        <v>57</v>
      </c>
      <c r="P12" t="s">
        <v>31</v>
      </c>
      <c r="Q12" s="26">
        <v>45088.49690972222</v>
      </c>
    </row>
    <row r="13" spans="1:19">
      <c r="A13">
        <v>71446</v>
      </c>
      <c r="B13" t="s">
        <v>26</v>
      </c>
      <c r="C13" t="s">
        <v>47</v>
      </c>
      <c r="D13">
        <v>1111111100000000</v>
      </c>
      <c r="E13" s="24">
        <v>45088</v>
      </c>
      <c r="F13" s="25">
        <v>0.49938657407407411</v>
      </c>
      <c r="G13" t="s">
        <v>27</v>
      </c>
      <c r="H13" t="s">
        <v>30</v>
      </c>
      <c r="I13" t="s">
        <v>48</v>
      </c>
      <c r="J13" t="s">
        <v>31</v>
      </c>
      <c r="K13" t="s">
        <v>31</v>
      </c>
      <c r="L13" t="s">
        <v>31</v>
      </c>
      <c r="M13">
        <v>64</v>
      </c>
      <c r="N13">
        <v>59</v>
      </c>
      <c r="P13" t="s">
        <v>31</v>
      </c>
      <c r="Q13" s="26">
        <v>45088.498506944445</v>
      </c>
    </row>
    <row r="14" spans="1:19">
      <c r="A14">
        <v>71446</v>
      </c>
      <c r="B14" t="s">
        <v>26</v>
      </c>
      <c r="C14" t="s">
        <v>49</v>
      </c>
      <c r="D14">
        <v>1111111100000000</v>
      </c>
      <c r="E14" s="24">
        <v>45088</v>
      </c>
      <c r="F14" s="25">
        <v>0.50092592592592589</v>
      </c>
      <c r="G14" t="s">
        <v>27</v>
      </c>
      <c r="H14" t="s">
        <v>30</v>
      </c>
      <c r="I14" t="s">
        <v>50</v>
      </c>
      <c r="J14" t="s">
        <v>31</v>
      </c>
      <c r="K14" t="s">
        <v>31</v>
      </c>
      <c r="L14" t="s">
        <v>31</v>
      </c>
      <c r="M14">
        <v>66</v>
      </c>
      <c r="N14">
        <v>64</v>
      </c>
      <c r="P14" t="s">
        <v>31</v>
      </c>
      <c r="Q14" s="26">
        <v>45088.500034722223</v>
      </c>
    </row>
    <row r="15" spans="1:19">
      <c r="A15">
        <v>71446</v>
      </c>
      <c r="B15" t="s">
        <v>26</v>
      </c>
      <c r="C15" t="s">
        <v>51</v>
      </c>
      <c r="D15">
        <v>1111111100000000</v>
      </c>
      <c r="E15" s="24">
        <v>45088</v>
      </c>
      <c r="F15" s="25">
        <v>0.50262731481481482</v>
      </c>
      <c r="G15" t="s">
        <v>27</v>
      </c>
      <c r="H15" t="s">
        <v>30</v>
      </c>
      <c r="I15" t="s">
        <v>52</v>
      </c>
      <c r="J15" t="s">
        <v>31</v>
      </c>
      <c r="K15" t="s">
        <v>31</v>
      </c>
      <c r="L15" t="s">
        <v>31</v>
      </c>
      <c r="M15">
        <v>66</v>
      </c>
      <c r="N15">
        <v>62</v>
      </c>
      <c r="P15" t="s">
        <v>31</v>
      </c>
      <c r="Q15" s="26">
        <v>45088.501736111109</v>
      </c>
    </row>
    <row r="16" spans="1:19">
      <c r="A16">
        <v>71446</v>
      </c>
      <c r="B16" t="s">
        <v>26</v>
      </c>
      <c r="C16" t="s">
        <v>53</v>
      </c>
      <c r="D16">
        <v>1111111100000000</v>
      </c>
      <c r="E16" s="24">
        <v>45088</v>
      </c>
      <c r="F16" s="25">
        <v>0.50408564814814816</v>
      </c>
      <c r="G16" t="s">
        <v>27</v>
      </c>
      <c r="H16" t="s">
        <v>30</v>
      </c>
      <c r="I16" t="s">
        <v>54</v>
      </c>
      <c r="J16" t="s">
        <v>31</v>
      </c>
      <c r="K16" t="s">
        <v>31</v>
      </c>
      <c r="L16" t="s">
        <v>31</v>
      </c>
      <c r="M16">
        <v>68</v>
      </c>
      <c r="N16">
        <v>57</v>
      </c>
      <c r="P16" t="s">
        <v>31</v>
      </c>
      <c r="Q16" s="26">
        <v>45088.503194444442</v>
      </c>
    </row>
    <row r="17" spans="1:19">
      <c r="A17">
        <v>71446</v>
      </c>
      <c r="B17" t="s">
        <v>26</v>
      </c>
      <c r="C17" t="s">
        <v>55</v>
      </c>
      <c r="D17">
        <v>1111111100000000</v>
      </c>
      <c r="E17" s="24">
        <v>45088</v>
      </c>
      <c r="F17" s="25">
        <v>0.50545138888888885</v>
      </c>
      <c r="G17" t="s">
        <v>27</v>
      </c>
      <c r="H17" t="s">
        <v>30</v>
      </c>
      <c r="I17" t="s">
        <v>56</v>
      </c>
      <c r="J17" t="s">
        <v>31</v>
      </c>
      <c r="K17" t="s">
        <v>31</v>
      </c>
      <c r="L17" t="s">
        <v>31</v>
      </c>
      <c r="M17">
        <v>59</v>
      </c>
      <c r="N17">
        <v>56</v>
      </c>
      <c r="P17" t="s">
        <v>31</v>
      </c>
      <c r="Q17" s="26">
        <v>45088.504571759258</v>
      </c>
    </row>
    <row r="18" spans="1:19">
      <c r="A18">
        <v>71446</v>
      </c>
      <c r="B18" t="s">
        <v>26</v>
      </c>
      <c r="C18" t="s">
        <v>57</v>
      </c>
      <c r="D18">
        <v>1111111100000000</v>
      </c>
      <c r="E18" s="24">
        <v>45088</v>
      </c>
      <c r="F18" s="25">
        <v>0.5076504629629629</v>
      </c>
      <c r="G18" t="s">
        <v>27</v>
      </c>
      <c r="H18" t="s">
        <v>30</v>
      </c>
      <c r="I18" t="s">
        <v>58</v>
      </c>
      <c r="J18" t="s">
        <v>31</v>
      </c>
      <c r="K18" t="s">
        <v>31</v>
      </c>
      <c r="L18" t="s">
        <v>31</v>
      </c>
      <c r="M18">
        <v>30</v>
      </c>
      <c r="N18">
        <v>14</v>
      </c>
      <c r="P18" t="s">
        <v>31</v>
      </c>
      <c r="Q18" s="26">
        <v>45088.50681712963</v>
      </c>
    </row>
    <row r="19" spans="1:19">
      <c r="A19">
        <v>71446</v>
      </c>
      <c r="B19" t="s">
        <v>26</v>
      </c>
      <c r="C19" t="s">
        <v>57</v>
      </c>
      <c r="D19">
        <v>1111111100000000</v>
      </c>
      <c r="E19" s="24">
        <v>45088</v>
      </c>
      <c r="F19" s="25">
        <v>0.50921296296296303</v>
      </c>
      <c r="G19" t="s">
        <v>27</v>
      </c>
      <c r="H19" t="s">
        <v>30</v>
      </c>
      <c r="I19" t="s">
        <v>58</v>
      </c>
      <c r="J19" t="s">
        <v>31</v>
      </c>
      <c r="K19" t="s">
        <v>31</v>
      </c>
      <c r="L19" t="s">
        <v>31</v>
      </c>
      <c r="M19">
        <v>52</v>
      </c>
      <c r="N19">
        <v>60</v>
      </c>
      <c r="P19" t="s">
        <v>31</v>
      </c>
      <c r="Q19" s="26">
        <v>45088.508344907408</v>
      </c>
    </row>
    <row r="20" spans="1:19">
      <c r="A20">
        <v>71446</v>
      </c>
      <c r="B20" t="s">
        <v>26</v>
      </c>
      <c r="C20" t="s">
        <v>59</v>
      </c>
      <c r="D20">
        <v>1111111100000000</v>
      </c>
      <c r="E20" s="24">
        <v>45088</v>
      </c>
      <c r="F20" s="25">
        <v>0.51246527777777773</v>
      </c>
      <c r="G20" t="s">
        <v>27</v>
      </c>
      <c r="H20" t="s">
        <v>30</v>
      </c>
      <c r="I20" t="s">
        <v>60</v>
      </c>
      <c r="J20" t="s">
        <v>31</v>
      </c>
      <c r="K20" t="s">
        <v>31</v>
      </c>
      <c r="L20" t="s">
        <v>31</v>
      </c>
      <c r="M20">
        <v>68</v>
      </c>
      <c r="N20">
        <v>56</v>
      </c>
      <c r="P20" t="s">
        <v>31</v>
      </c>
      <c r="Q20" s="26">
        <v>45088.51158564815</v>
      </c>
    </row>
    <row r="21" spans="1:19">
      <c r="A21">
        <v>71446</v>
      </c>
      <c r="B21" t="s">
        <v>26</v>
      </c>
      <c r="C21">
        <v>0</v>
      </c>
      <c r="D21">
        <v>0</v>
      </c>
      <c r="E21" s="24">
        <v>45088</v>
      </c>
      <c r="F21" s="25">
        <v>0.51409722222222221</v>
      </c>
      <c r="G21" t="s">
        <v>27</v>
      </c>
      <c r="H21" t="s">
        <v>37</v>
      </c>
      <c r="I21" t="s">
        <v>60</v>
      </c>
      <c r="P21" s="26">
        <v>45088.513912037037</v>
      </c>
      <c r="R21" t="s">
        <v>61</v>
      </c>
    </row>
    <row r="22" spans="1:19">
      <c r="A22">
        <v>71446</v>
      </c>
      <c r="B22" t="s">
        <v>26</v>
      </c>
      <c r="C22" t="s">
        <v>62</v>
      </c>
      <c r="D22">
        <v>1111111100000000</v>
      </c>
      <c r="E22" s="24">
        <v>45088</v>
      </c>
      <c r="F22" s="25">
        <v>0.51497685185185182</v>
      </c>
      <c r="G22" t="s">
        <v>27</v>
      </c>
      <c r="H22" t="s">
        <v>30</v>
      </c>
      <c r="I22" t="s">
        <v>63</v>
      </c>
      <c r="J22" t="s">
        <v>31</v>
      </c>
      <c r="K22" t="s">
        <v>31</v>
      </c>
      <c r="L22" t="s">
        <v>31</v>
      </c>
      <c r="M22">
        <v>61</v>
      </c>
      <c r="N22">
        <v>64</v>
      </c>
      <c r="P22" t="s">
        <v>31</v>
      </c>
      <c r="Q22" s="26">
        <v>45088.514097222222</v>
      </c>
    </row>
    <row r="23" spans="1:19">
      <c r="A23">
        <v>71446</v>
      </c>
      <c r="B23" t="s">
        <v>26</v>
      </c>
      <c r="C23" t="s">
        <v>64</v>
      </c>
      <c r="D23">
        <v>1111111100000000</v>
      </c>
      <c r="E23" s="24">
        <v>45088</v>
      </c>
      <c r="F23" s="25">
        <v>0.51641203703703698</v>
      </c>
      <c r="G23" t="s">
        <v>27</v>
      </c>
      <c r="H23" t="s">
        <v>30</v>
      </c>
      <c r="I23" t="s">
        <v>65</v>
      </c>
      <c r="J23" t="s">
        <v>31</v>
      </c>
      <c r="K23" t="s">
        <v>31</v>
      </c>
      <c r="L23" t="s">
        <v>31</v>
      </c>
      <c r="M23">
        <v>58</v>
      </c>
      <c r="N23">
        <v>56</v>
      </c>
      <c r="P23" t="s">
        <v>31</v>
      </c>
      <c r="Q23" s="26">
        <v>45088.515543981484</v>
      </c>
    </row>
    <row r="24" spans="1:19">
      <c r="A24">
        <v>71446</v>
      </c>
      <c r="B24" t="s">
        <v>26</v>
      </c>
      <c r="C24" t="s">
        <v>66</v>
      </c>
      <c r="D24">
        <v>1111111100000000</v>
      </c>
      <c r="E24" s="24">
        <v>45088</v>
      </c>
      <c r="F24" s="25">
        <v>0.51804398148148145</v>
      </c>
      <c r="G24" t="s">
        <v>27</v>
      </c>
      <c r="H24" t="s">
        <v>30</v>
      </c>
      <c r="I24" t="s">
        <v>67</v>
      </c>
      <c r="J24" t="s">
        <v>31</v>
      </c>
      <c r="K24" t="s">
        <v>31</v>
      </c>
      <c r="L24" t="s">
        <v>31</v>
      </c>
      <c r="M24">
        <v>58</v>
      </c>
      <c r="N24">
        <v>57</v>
      </c>
      <c r="P24" t="s">
        <v>31</v>
      </c>
      <c r="Q24" s="26">
        <v>45088.517164351855</v>
      </c>
    </row>
    <row r="25" spans="1:19">
      <c r="A25">
        <v>71446</v>
      </c>
      <c r="B25" t="s">
        <v>26</v>
      </c>
      <c r="C25" t="s">
        <v>68</v>
      </c>
      <c r="D25">
        <v>1111111100000000</v>
      </c>
      <c r="E25" s="24">
        <v>45088</v>
      </c>
      <c r="F25" s="25">
        <v>0.51927083333333335</v>
      </c>
      <c r="G25" t="s">
        <v>27</v>
      </c>
      <c r="H25" t="s">
        <v>30</v>
      </c>
      <c r="I25" t="s">
        <v>69</v>
      </c>
      <c r="J25" t="s">
        <v>31</v>
      </c>
      <c r="K25" t="s">
        <v>31</v>
      </c>
      <c r="L25" t="s">
        <v>31</v>
      </c>
      <c r="M25">
        <v>77</v>
      </c>
      <c r="N25">
        <v>59</v>
      </c>
      <c r="P25" t="s">
        <v>31</v>
      </c>
      <c r="Q25" s="26">
        <v>45088.518368055556</v>
      </c>
    </row>
    <row r="26" spans="1:19">
      <c r="A26">
        <v>71446</v>
      </c>
      <c r="B26" t="s">
        <v>26</v>
      </c>
      <c r="C26" t="s">
        <v>70</v>
      </c>
      <c r="D26">
        <v>1111111100000000</v>
      </c>
      <c r="E26" s="24">
        <v>45088</v>
      </c>
      <c r="F26" s="25">
        <v>0.52054398148148151</v>
      </c>
      <c r="G26" t="s">
        <v>27</v>
      </c>
      <c r="H26" t="s">
        <v>30</v>
      </c>
      <c r="I26" t="s">
        <v>71</v>
      </c>
      <c r="J26" t="s">
        <v>31</v>
      </c>
      <c r="K26" t="s">
        <v>31</v>
      </c>
      <c r="L26" t="s">
        <v>31</v>
      </c>
      <c r="M26">
        <v>65</v>
      </c>
      <c r="N26">
        <v>56</v>
      </c>
      <c r="P26" t="s">
        <v>31</v>
      </c>
      <c r="Q26" s="26">
        <v>45088.51966435185</v>
      </c>
    </row>
    <row r="27" spans="1:19">
      <c r="A27">
        <v>71446</v>
      </c>
      <c r="B27" t="s">
        <v>26</v>
      </c>
      <c r="C27" t="s">
        <v>72</v>
      </c>
      <c r="D27">
        <v>1111111100000000</v>
      </c>
      <c r="E27" s="24">
        <v>45088</v>
      </c>
      <c r="F27" s="25">
        <v>0.52177083333333341</v>
      </c>
      <c r="G27" t="s">
        <v>27</v>
      </c>
      <c r="H27" t="s">
        <v>30</v>
      </c>
      <c r="I27" t="s">
        <v>73</v>
      </c>
      <c r="J27" t="s">
        <v>31</v>
      </c>
      <c r="K27" t="s">
        <v>31</v>
      </c>
      <c r="L27" t="s">
        <v>31</v>
      </c>
      <c r="M27">
        <v>59</v>
      </c>
      <c r="N27">
        <v>56</v>
      </c>
      <c r="P27" t="s">
        <v>31</v>
      </c>
      <c r="Q27" s="26">
        <v>45088.520891203705</v>
      </c>
    </row>
    <row r="28" spans="1:19">
      <c r="A28">
        <v>71446</v>
      </c>
      <c r="B28" t="s">
        <v>26</v>
      </c>
      <c r="C28" t="s">
        <v>74</v>
      </c>
      <c r="D28">
        <v>1111111100000000</v>
      </c>
      <c r="E28" s="24">
        <v>45088</v>
      </c>
      <c r="F28" s="25">
        <v>0.522974537037037</v>
      </c>
      <c r="G28" t="s">
        <v>27</v>
      </c>
      <c r="H28" t="s">
        <v>30</v>
      </c>
      <c r="I28" t="s">
        <v>75</v>
      </c>
      <c r="J28" t="s">
        <v>31</v>
      </c>
      <c r="K28" t="s">
        <v>31</v>
      </c>
      <c r="L28" t="s">
        <v>31</v>
      </c>
      <c r="M28">
        <v>62</v>
      </c>
      <c r="N28">
        <v>57</v>
      </c>
      <c r="P28" t="s">
        <v>31</v>
      </c>
      <c r="Q28" s="26">
        <v>45088.522094907406</v>
      </c>
    </row>
    <row r="29" spans="1:19">
      <c r="A29">
        <v>71446</v>
      </c>
      <c r="B29" t="s">
        <v>26</v>
      </c>
      <c r="C29" t="s">
        <v>76</v>
      </c>
      <c r="D29">
        <v>1111111100000000</v>
      </c>
      <c r="E29" s="24">
        <v>45088</v>
      </c>
      <c r="F29" s="25">
        <v>0.52435185185185185</v>
      </c>
      <c r="G29" t="s">
        <v>27</v>
      </c>
      <c r="H29" t="s">
        <v>30</v>
      </c>
      <c r="I29" t="s">
        <v>77</v>
      </c>
      <c r="J29" t="s">
        <v>31</v>
      </c>
      <c r="K29" t="s">
        <v>31</v>
      </c>
      <c r="L29" t="s">
        <v>31</v>
      </c>
      <c r="M29">
        <v>58</v>
      </c>
      <c r="N29">
        <v>59</v>
      </c>
      <c r="P29" t="s">
        <v>31</v>
      </c>
      <c r="Q29" s="26">
        <v>45088.523472222223</v>
      </c>
    </row>
    <row r="30" spans="1:19">
      <c r="A30">
        <v>71446</v>
      </c>
      <c r="B30" t="s">
        <v>26</v>
      </c>
      <c r="C30" t="s">
        <v>78</v>
      </c>
      <c r="D30">
        <v>1111111100000000</v>
      </c>
      <c r="E30" s="24">
        <v>45088</v>
      </c>
      <c r="F30" s="25">
        <v>0.52591435185185187</v>
      </c>
      <c r="G30" t="s">
        <v>27</v>
      </c>
      <c r="H30" t="s">
        <v>30</v>
      </c>
      <c r="I30" t="s">
        <v>79</v>
      </c>
      <c r="J30" t="s">
        <v>31</v>
      </c>
      <c r="K30" t="s">
        <v>31</v>
      </c>
      <c r="L30" t="s">
        <v>31</v>
      </c>
      <c r="M30">
        <v>73</v>
      </c>
      <c r="N30">
        <v>56</v>
      </c>
      <c r="P30" t="s">
        <v>31</v>
      </c>
      <c r="Q30" s="26">
        <v>45088.525023148148</v>
      </c>
    </row>
    <row r="31" spans="1:19">
      <c r="A31">
        <v>71446</v>
      </c>
      <c r="B31" t="s">
        <v>26</v>
      </c>
      <c r="C31" t="s">
        <v>80</v>
      </c>
      <c r="D31">
        <v>1111111100000000</v>
      </c>
      <c r="E31" s="24">
        <v>45088</v>
      </c>
      <c r="F31" s="25">
        <v>0.52736111111111106</v>
      </c>
      <c r="G31" t="s">
        <v>27</v>
      </c>
      <c r="H31" t="s">
        <v>81</v>
      </c>
      <c r="I31" t="s">
        <v>82</v>
      </c>
      <c r="J31" t="s">
        <v>31</v>
      </c>
      <c r="K31" t="s">
        <v>31</v>
      </c>
      <c r="L31" t="s">
        <v>31</v>
      </c>
      <c r="M31">
        <v>65</v>
      </c>
      <c r="N31">
        <v>60</v>
      </c>
      <c r="P31" t="s">
        <v>28</v>
      </c>
      <c r="Q31" s="26">
        <v>45088.526423611111</v>
      </c>
      <c r="S31" t="s">
        <v>83</v>
      </c>
    </row>
    <row r="32" spans="1:19">
      <c r="A32">
        <v>71446</v>
      </c>
      <c r="B32" t="s">
        <v>26</v>
      </c>
      <c r="C32" t="s">
        <v>80</v>
      </c>
      <c r="D32">
        <v>1111111100000000</v>
      </c>
      <c r="E32" s="24">
        <v>45088</v>
      </c>
      <c r="F32" s="25">
        <v>0.52826388888888887</v>
      </c>
      <c r="G32" t="s">
        <v>27</v>
      </c>
      <c r="H32" t="s">
        <v>30</v>
      </c>
      <c r="I32" t="s">
        <v>82</v>
      </c>
      <c r="J32" t="s">
        <v>31</v>
      </c>
      <c r="K32" t="s">
        <v>31</v>
      </c>
      <c r="L32" t="s">
        <v>31</v>
      </c>
      <c r="M32">
        <v>64</v>
      </c>
      <c r="N32">
        <v>59</v>
      </c>
      <c r="P32" t="s">
        <v>31</v>
      </c>
      <c r="Q32" s="26">
        <v>45088.527384259258</v>
      </c>
    </row>
    <row r="33" spans="1:18">
      <c r="A33">
        <v>71446</v>
      </c>
      <c r="B33" t="s">
        <v>26</v>
      </c>
      <c r="C33" t="s">
        <v>84</v>
      </c>
      <c r="D33">
        <v>1111111100000000</v>
      </c>
      <c r="E33" s="24">
        <v>45088</v>
      </c>
      <c r="F33" s="25">
        <v>0.52968749999999998</v>
      </c>
      <c r="G33" t="s">
        <v>27</v>
      </c>
      <c r="H33" t="s">
        <v>30</v>
      </c>
      <c r="I33" t="s">
        <v>85</v>
      </c>
      <c r="J33" t="s">
        <v>31</v>
      </c>
      <c r="K33" t="s">
        <v>31</v>
      </c>
      <c r="L33" t="s">
        <v>31</v>
      </c>
      <c r="M33">
        <v>56</v>
      </c>
      <c r="N33">
        <v>58</v>
      </c>
      <c r="P33" t="s">
        <v>31</v>
      </c>
      <c r="Q33" s="26">
        <v>45088.528807870367</v>
      </c>
    </row>
    <row r="34" spans="1:18">
      <c r="A34">
        <v>71446</v>
      </c>
      <c r="B34" t="s">
        <v>26</v>
      </c>
      <c r="C34" t="s">
        <v>86</v>
      </c>
      <c r="D34">
        <v>1111111100000000</v>
      </c>
      <c r="E34" s="24">
        <v>45088</v>
      </c>
      <c r="F34" s="25">
        <v>0.53093749999999995</v>
      </c>
      <c r="G34" t="s">
        <v>27</v>
      </c>
      <c r="H34" t="s">
        <v>30</v>
      </c>
      <c r="I34" t="s">
        <v>87</v>
      </c>
      <c r="J34" t="s">
        <v>31</v>
      </c>
      <c r="K34" t="s">
        <v>31</v>
      </c>
      <c r="L34" t="s">
        <v>31</v>
      </c>
      <c r="M34">
        <v>63</v>
      </c>
      <c r="N34">
        <v>58</v>
      </c>
      <c r="P34" t="s">
        <v>31</v>
      </c>
      <c r="Q34" s="26">
        <v>45088.530057870368</v>
      </c>
    </row>
    <row r="35" spans="1:18">
      <c r="A35">
        <v>71446</v>
      </c>
      <c r="B35" t="s">
        <v>26</v>
      </c>
      <c r="C35" t="s">
        <v>88</v>
      </c>
      <c r="D35">
        <v>1111111100000000</v>
      </c>
      <c r="E35" s="24">
        <v>45088</v>
      </c>
      <c r="F35" s="25">
        <v>0.54077546296296297</v>
      </c>
      <c r="G35" t="s">
        <v>27</v>
      </c>
      <c r="H35" t="s">
        <v>30</v>
      </c>
      <c r="I35" t="s">
        <v>89</v>
      </c>
      <c r="J35" t="s">
        <v>31</v>
      </c>
      <c r="K35" t="s">
        <v>31</v>
      </c>
      <c r="L35" t="s">
        <v>31</v>
      </c>
      <c r="M35">
        <v>53</v>
      </c>
      <c r="N35">
        <v>56</v>
      </c>
      <c r="P35" t="s">
        <v>31</v>
      </c>
      <c r="Q35" s="26">
        <v>45088.539918981478</v>
      </c>
    </row>
    <row r="36" spans="1:18">
      <c r="A36">
        <v>71446</v>
      </c>
      <c r="B36" t="s">
        <v>26</v>
      </c>
      <c r="C36" t="s">
        <v>90</v>
      </c>
      <c r="D36">
        <v>1111111100000000</v>
      </c>
      <c r="E36" s="24">
        <v>45088</v>
      </c>
      <c r="F36" s="25">
        <v>0.54230324074074077</v>
      </c>
      <c r="G36" t="s">
        <v>27</v>
      </c>
      <c r="H36" t="s">
        <v>30</v>
      </c>
      <c r="I36" t="s">
        <v>91</v>
      </c>
      <c r="J36" t="s">
        <v>31</v>
      </c>
      <c r="K36" t="s">
        <v>31</v>
      </c>
      <c r="L36" t="s">
        <v>31</v>
      </c>
      <c r="M36">
        <v>75</v>
      </c>
      <c r="N36">
        <v>60</v>
      </c>
      <c r="P36" t="s">
        <v>31</v>
      </c>
      <c r="Q36" s="26">
        <v>45088.541412037041</v>
      </c>
    </row>
    <row r="37" spans="1:18">
      <c r="A37">
        <v>71446</v>
      </c>
      <c r="B37" t="s">
        <v>26</v>
      </c>
      <c r="C37" t="s">
        <v>92</v>
      </c>
      <c r="D37">
        <v>1111111100000000</v>
      </c>
      <c r="E37" s="24">
        <v>45088</v>
      </c>
      <c r="F37" s="25">
        <v>0.54349537037037032</v>
      </c>
      <c r="G37" t="s">
        <v>27</v>
      </c>
      <c r="H37" t="s">
        <v>30</v>
      </c>
      <c r="I37" t="s">
        <v>93</v>
      </c>
      <c r="J37" t="s">
        <v>31</v>
      </c>
      <c r="K37" t="s">
        <v>31</v>
      </c>
      <c r="L37" t="s">
        <v>31</v>
      </c>
      <c r="M37">
        <v>75</v>
      </c>
      <c r="N37">
        <v>57</v>
      </c>
      <c r="P37" t="s">
        <v>31</v>
      </c>
      <c r="Q37" s="26">
        <v>45088.542615740742</v>
      </c>
    </row>
    <row r="38" spans="1:18">
      <c r="A38">
        <v>71446</v>
      </c>
      <c r="B38" t="s">
        <v>26</v>
      </c>
      <c r="C38" t="s">
        <v>94</v>
      </c>
      <c r="D38">
        <v>1111111100000000</v>
      </c>
      <c r="E38" s="24">
        <v>45088</v>
      </c>
      <c r="F38" s="25">
        <v>0.54471064814814818</v>
      </c>
      <c r="G38" t="s">
        <v>27</v>
      </c>
      <c r="H38" t="s">
        <v>30</v>
      </c>
      <c r="I38" t="s">
        <v>95</v>
      </c>
      <c r="J38" t="s">
        <v>31</v>
      </c>
      <c r="K38" t="s">
        <v>31</v>
      </c>
      <c r="L38" t="s">
        <v>31</v>
      </c>
      <c r="M38">
        <v>65</v>
      </c>
      <c r="N38">
        <v>62</v>
      </c>
      <c r="P38" t="s">
        <v>31</v>
      </c>
      <c r="Q38" s="26">
        <v>45088.54383101852</v>
      </c>
    </row>
    <row r="39" spans="1:18">
      <c r="A39">
        <v>71446</v>
      </c>
      <c r="B39" t="s">
        <v>26</v>
      </c>
      <c r="C39">
        <v>0</v>
      </c>
      <c r="D39">
        <v>0</v>
      </c>
      <c r="E39" s="24">
        <v>45088</v>
      </c>
      <c r="F39" s="25">
        <v>0.54518518518518522</v>
      </c>
      <c r="G39" t="s">
        <v>27</v>
      </c>
      <c r="H39" t="s">
        <v>37</v>
      </c>
      <c r="I39" t="s">
        <v>95</v>
      </c>
      <c r="P39" s="26">
        <v>45088.545034722221</v>
      </c>
      <c r="R39" t="s">
        <v>61</v>
      </c>
    </row>
    <row r="40" spans="1:18">
      <c r="A40">
        <v>71446</v>
      </c>
      <c r="B40" t="s">
        <v>26</v>
      </c>
      <c r="C40" t="s">
        <v>96</v>
      </c>
      <c r="D40">
        <v>1111111100000000</v>
      </c>
      <c r="E40" s="24">
        <v>45088</v>
      </c>
      <c r="F40" s="25">
        <v>0.54607638888888888</v>
      </c>
      <c r="G40" t="s">
        <v>27</v>
      </c>
      <c r="H40" t="s">
        <v>30</v>
      </c>
      <c r="I40" t="s">
        <v>97</v>
      </c>
      <c r="J40" t="s">
        <v>31</v>
      </c>
      <c r="K40" t="s">
        <v>31</v>
      </c>
      <c r="L40" t="s">
        <v>31</v>
      </c>
      <c r="M40">
        <v>72</v>
      </c>
      <c r="N40">
        <v>57</v>
      </c>
      <c r="P40" t="s">
        <v>31</v>
      </c>
      <c r="Q40" s="26">
        <v>45088.545185185183</v>
      </c>
    </row>
    <row r="41" spans="1:18">
      <c r="A41">
        <v>71446</v>
      </c>
      <c r="B41" t="s">
        <v>26</v>
      </c>
      <c r="C41" t="s">
        <v>98</v>
      </c>
      <c r="D41">
        <v>1111111100000000</v>
      </c>
      <c r="E41" s="24">
        <v>45088</v>
      </c>
      <c r="F41" s="25">
        <v>0.54738425925925926</v>
      </c>
      <c r="G41" t="s">
        <v>27</v>
      </c>
      <c r="H41" t="s">
        <v>30</v>
      </c>
      <c r="I41" t="s">
        <v>99</v>
      </c>
      <c r="J41" t="s">
        <v>31</v>
      </c>
      <c r="K41" t="s">
        <v>31</v>
      </c>
      <c r="L41" t="s">
        <v>31</v>
      </c>
      <c r="M41">
        <v>49</v>
      </c>
      <c r="N41">
        <v>57</v>
      </c>
      <c r="P41" t="s">
        <v>31</v>
      </c>
      <c r="Q41" s="26">
        <v>45088.546527777777</v>
      </c>
    </row>
    <row r="42" spans="1:18">
      <c r="A42">
        <v>71446</v>
      </c>
      <c r="B42" t="s">
        <v>26</v>
      </c>
      <c r="C42" t="s">
        <v>100</v>
      </c>
      <c r="D42">
        <v>1111111100000000</v>
      </c>
      <c r="E42" s="24">
        <v>45088</v>
      </c>
      <c r="F42" s="25">
        <v>0.55070601851851853</v>
      </c>
      <c r="G42" t="s">
        <v>27</v>
      </c>
      <c r="H42" t="s">
        <v>30</v>
      </c>
      <c r="I42" t="s">
        <v>101</v>
      </c>
      <c r="J42" t="s">
        <v>31</v>
      </c>
      <c r="K42" t="s">
        <v>31</v>
      </c>
      <c r="L42" t="s">
        <v>31</v>
      </c>
      <c r="M42">
        <v>63</v>
      </c>
      <c r="N42">
        <v>59</v>
      </c>
      <c r="P42" t="s">
        <v>31</v>
      </c>
      <c r="Q42" s="26">
        <v>45088.549861111111</v>
      </c>
    </row>
    <row r="43" spans="1:18">
      <c r="A43">
        <v>71446</v>
      </c>
      <c r="B43" t="s">
        <v>26</v>
      </c>
      <c r="C43" t="s">
        <v>102</v>
      </c>
      <c r="D43">
        <v>1111111100000000</v>
      </c>
      <c r="E43" s="24">
        <v>45088</v>
      </c>
      <c r="F43" s="25">
        <v>0.55302083333333341</v>
      </c>
      <c r="G43" t="s">
        <v>27</v>
      </c>
      <c r="H43" t="s">
        <v>30</v>
      </c>
      <c r="I43" t="s">
        <v>103</v>
      </c>
      <c r="J43" t="s">
        <v>31</v>
      </c>
      <c r="K43" t="s">
        <v>31</v>
      </c>
      <c r="L43" t="s">
        <v>31</v>
      </c>
      <c r="M43">
        <v>64</v>
      </c>
      <c r="N43">
        <v>57</v>
      </c>
      <c r="P43" t="s">
        <v>31</v>
      </c>
      <c r="Q43" s="26">
        <v>45088.552175925928</v>
      </c>
    </row>
    <row r="44" spans="1:18">
      <c r="A44">
        <v>71446</v>
      </c>
      <c r="B44" t="s">
        <v>26</v>
      </c>
      <c r="C44">
        <v>0</v>
      </c>
      <c r="D44">
        <v>0</v>
      </c>
      <c r="E44" s="24">
        <v>45088</v>
      </c>
      <c r="F44" s="25">
        <v>0.55444444444444441</v>
      </c>
      <c r="G44" t="s">
        <v>27</v>
      </c>
      <c r="H44" t="s">
        <v>37</v>
      </c>
      <c r="I44" t="s">
        <v>103</v>
      </c>
      <c r="P44" s="26">
        <v>45088.553738425922</v>
      </c>
      <c r="R44" t="s">
        <v>61</v>
      </c>
    </row>
    <row r="45" spans="1:18">
      <c r="A45">
        <v>71446</v>
      </c>
      <c r="B45" t="s">
        <v>26</v>
      </c>
      <c r="C45" t="s">
        <v>104</v>
      </c>
      <c r="D45">
        <v>1111111100000000</v>
      </c>
      <c r="E45" s="24">
        <v>45088</v>
      </c>
      <c r="F45" s="25">
        <v>0.55528935185185191</v>
      </c>
      <c r="G45" t="s">
        <v>27</v>
      </c>
      <c r="H45" t="s">
        <v>30</v>
      </c>
      <c r="I45" t="s">
        <v>105</v>
      </c>
      <c r="J45" t="s">
        <v>31</v>
      </c>
      <c r="K45" t="s">
        <v>31</v>
      </c>
      <c r="L45" t="s">
        <v>31</v>
      </c>
      <c r="M45">
        <v>54</v>
      </c>
      <c r="N45">
        <v>58</v>
      </c>
      <c r="P45" t="s">
        <v>31</v>
      </c>
      <c r="Q45" s="26">
        <v>45088.554456018515</v>
      </c>
    </row>
    <row r="46" spans="1:18">
      <c r="A46">
        <v>71446</v>
      </c>
      <c r="B46" t="s">
        <v>26</v>
      </c>
      <c r="C46">
        <v>0</v>
      </c>
      <c r="D46">
        <v>0</v>
      </c>
      <c r="E46" s="24">
        <v>45088</v>
      </c>
      <c r="F46" s="25">
        <v>0.55618055555555557</v>
      </c>
      <c r="G46" t="s">
        <v>27</v>
      </c>
      <c r="H46" t="s">
        <v>37</v>
      </c>
      <c r="I46" t="s">
        <v>105</v>
      </c>
      <c r="P46" s="26">
        <v>45088.55574074074</v>
      </c>
      <c r="R46" t="s">
        <v>61</v>
      </c>
    </row>
    <row r="47" spans="1:18">
      <c r="A47">
        <v>71446</v>
      </c>
      <c r="B47" t="s">
        <v>26</v>
      </c>
      <c r="C47" t="s">
        <v>106</v>
      </c>
      <c r="D47">
        <v>1111111100000000</v>
      </c>
      <c r="E47" s="24">
        <v>45088</v>
      </c>
      <c r="F47" s="25">
        <v>0.55702546296296296</v>
      </c>
      <c r="G47" t="s">
        <v>27</v>
      </c>
      <c r="H47" t="s">
        <v>30</v>
      </c>
      <c r="I47" t="s">
        <v>107</v>
      </c>
      <c r="J47" t="s">
        <v>31</v>
      </c>
      <c r="K47" t="s">
        <v>31</v>
      </c>
      <c r="L47" t="s">
        <v>31</v>
      </c>
      <c r="M47">
        <v>51</v>
      </c>
      <c r="N47">
        <v>59</v>
      </c>
      <c r="P47" t="s">
        <v>31</v>
      </c>
      <c r="Q47" s="26">
        <v>45088.556180555555</v>
      </c>
    </row>
    <row r="48" spans="1:18">
      <c r="A48">
        <v>71446</v>
      </c>
      <c r="B48" t="s">
        <v>26</v>
      </c>
      <c r="C48" t="s">
        <v>102</v>
      </c>
      <c r="D48">
        <v>1111111100000000</v>
      </c>
      <c r="E48" s="24">
        <v>45088</v>
      </c>
      <c r="F48" s="25">
        <v>0.5581828703703704</v>
      </c>
      <c r="G48" t="s">
        <v>27</v>
      </c>
      <c r="H48" t="s">
        <v>30</v>
      </c>
      <c r="I48" t="s">
        <v>103</v>
      </c>
      <c r="J48" t="s">
        <v>31</v>
      </c>
      <c r="K48" t="s">
        <v>31</v>
      </c>
      <c r="L48" t="s">
        <v>31</v>
      </c>
      <c r="M48">
        <v>65</v>
      </c>
      <c r="N48">
        <v>57</v>
      </c>
      <c r="P48" t="s">
        <v>31</v>
      </c>
      <c r="Q48" s="26">
        <v>45088.557326388887</v>
      </c>
    </row>
    <row r="49" spans="1:19">
      <c r="A49">
        <v>71446</v>
      </c>
      <c r="B49" t="s">
        <v>26</v>
      </c>
      <c r="C49">
        <v>0</v>
      </c>
      <c r="D49">
        <v>0</v>
      </c>
      <c r="E49" s="24">
        <v>45088</v>
      </c>
      <c r="F49" s="25">
        <v>0.55861111111111106</v>
      </c>
      <c r="G49" t="s">
        <v>27</v>
      </c>
      <c r="H49" t="s">
        <v>37</v>
      </c>
      <c r="I49" t="s">
        <v>103</v>
      </c>
      <c r="P49" s="26">
        <v>45088.55846064815</v>
      </c>
      <c r="R49" t="s">
        <v>61</v>
      </c>
    </row>
    <row r="50" spans="1:19">
      <c r="A50">
        <v>71446</v>
      </c>
      <c r="B50" t="s">
        <v>26</v>
      </c>
      <c r="C50" t="s">
        <v>108</v>
      </c>
      <c r="D50">
        <v>1111111100000000</v>
      </c>
      <c r="E50" s="24">
        <v>45088</v>
      </c>
      <c r="F50" s="25">
        <v>0.55940972222222218</v>
      </c>
      <c r="G50" t="s">
        <v>27</v>
      </c>
      <c r="H50" t="s">
        <v>32</v>
      </c>
      <c r="I50" t="s">
        <v>109</v>
      </c>
      <c r="J50" t="s">
        <v>31</v>
      </c>
      <c r="K50" t="s">
        <v>31</v>
      </c>
      <c r="L50" t="s">
        <v>31</v>
      </c>
      <c r="M50">
        <v>81</v>
      </c>
      <c r="N50">
        <v>59</v>
      </c>
      <c r="Q50" s="26">
        <v>45088.558622685188</v>
      </c>
      <c r="S50" t="s">
        <v>110</v>
      </c>
    </row>
    <row r="51" spans="1:19">
      <c r="A51">
        <v>71446</v>
      </c>
      <c r="B51" t="s">
        <v>26</v>
      </c>
      <c r="C51" t="s">
        <v>108</v>
      </c>
      <c r="D51">
        <v>1111111100000000</v>
      </c>
      <c r="E51" s="24">
        <v>45088</v>
      </c>
      <c r="F51" s="25">
        <v>0.56016203703703704</v>
      </c>
      <c r="G51" t="s">
        <v>27</v>
      </c>
      <c r="H51" t="s">
        <v>32</v>
      </c>
      <c r="I51" t="s">
        <v>109</v>
      </c>
      <c r="J51" t="s">
        <v>31</v>
      </c>
      <c r="K51" t="s">
        <v>31</v>
      </c>
      <c r="L51" t="s">
        <v>31</v>
      </c>
      <c r="M51">
        <v>81</v>
      </c>
      <c r="N51">
        <v>59</v>
      </c>
      <c r="Q51" s="26">
        <v>45088.559421296297</v>
      </c>
      <c r="S51" t="s">
        <v>110</v>
      </c>
    </row>
    <row r="52" spans="1:19">
      <c r="A52">
        <v>71446</v>
      </c>
      <c r="B52" t="s">
        <v>26</v>
      </c>
      <c r="C52" t="s">
        <v>108</v>
      </c>
      <c r="D52">
        <v>1111111100000000</v>
      </c>
      <c r="E52" s="24">
        <v>45088</v>
      </c>
      <c r="F52" s="25">
        <v>0.56134259259259256</v>
      </c>
      <c r="G52" t="s">
        <v>27</v>
      </c>
      <c r="H52" t="s">
        <v>32</v>
      </c>
      <c r="I52" t="s">
        <v>109</v>
      </c>
      <c r="J52" t="s">
        <v>31</v>
      </c>
      <c r="K52" t="s">
        <v>31</v>
      </c>
      <c r="L52" t="s">
        <v>31</v>
      </c>
      <c r="M52">
        <v>82</v>
      </c>
      <c r="N52">
        <v>60</v>
      </c>
      <c r="Q52" s="26">
        <v>45088.560601851852</v>
      </c>
      <c r="S52" t="s">
        <v>110</v>
      </c>
    </row>
    <row r="53" spans="1:19">
      <c r="A53">
        <v>71446</v>
      </c>
      <c r="B53" t="s">
        <v>26</v>
      </c>
      <c r="C53" t="s">
        <v>108</v>
      </c>
      <c r="D53">
        <v>1111111100000000</v>
      </c>
      <c r="E53" s="24">
        <v>45088</v>
      </c>
      <c r="F53" s="25">
        <v>0.56315972222222221</v>
      </c>
      <c r="G53" t="s">
        <v>27</v>
      </c>
      <c r="H53" t="s">
        <v>32</v>
      </c>
      <c r="I53" t="s">
        <v>109</v>
      </c>
      <c r="J53" t="s">
        <v>31</v>
      </c>
      <c r="K53" t="s">
        <v>31</v>
      </c>
      <c r="L53" t="s">
        <v>31</v>
      </c>
      <c r="M53">
        <v>82</v>
      </c>
      <c r="N53">
        <v>60</v>
      </c>
      <c r="Q53" s="26">
        <v>45088.561759259261</v>
      </c>
      <c r="S53" t="s">
        <v>110</v>
      </c>
    </row>
    <row r="54" spans="1:19">
      <c r="A54">
        <v>71446</v>
      </c>
      <c r="B54" t="s">
        <v>26</v>
      </c>
      <c r="C54" t="s">
        <v>108</v>
      </c>
      <c r="D54">
        <v>1111111100000000</v>
      </c>
      <c r="E54" s="24">
        <v>45088</v>
      </c>
      <c r="F54" s="25">
        <v>0.56443287037037038</v>
      </c>
      <c r="G54" t="s">
        <v>27</v>
      </c>
      <c r="H54" t="s">
        <v>30</v>
      </c>
      <c r="I54" t="s">
        <v>109</v>
      </c>
      <c r="J54" t="s">
        <v>31</v>
      </c>
      <c r="K54" t="s">
        <v>31</v>
      </c>
      <c r="L54" t="s">
        <v>31</v>
      </c>
      <c r="M54">
        <v>81</v>
      </c>
      <c r="N54">
        <v>60</v>
      </c>
      <c r="P54" t="s">
        <v>31</v>
      </c>
      <c r="Q54" s="26">
        <v>45088.563564814816</v>
      </c>
    </row>
    <row r="55" spans="1:19">
      <c r="A55">
        <v>71446</v>
      </c>
      <c r="B55" t="s">
        <v>26</v>
      </c>
      <c r="C55" t="s">
        <v>111</v>
      </c>
      <c r="D55">
        <v>1111111100000000</v>
      </c>
      <c r="E55" s="24">
        <v>45088</v>
      </c>
      <c r="F55" s="25">
        <v>0.56579861111111118</v>
      </c>
      <c r="G55" t="s">
        <v>27</v>
      </c>
      <c r="H55" t="s">
        <v>30</v>
      </c>
      <c r="I55" t="s">
        <v>112</v>
      </c>
      <c r="J55" t="s">
        <v>31</v>
      </c>
      <c r="K55" t="s">
        <v>31</v>
      </c>
      <c r="L55" t="s">
        <v>31</v>
      </c>
      <c r="M55">
        <v>65</v>
      </c>
      <c r="N55">
        <v>57</v>
      </c>
      <c r="P55" t="s">
        <v>31</v>
      </c>
      <c r="Q55" s="26">
        <v>45088.564942129633</v>
      </c>
    </row>
    <row r="56" spans="1:19">
      <c r="A56">
        <v>71446</v>
      </c>
      <c r="B56" t="s">
        <v>26</v>
      </c>
      <c r="C56" t="s">
        <v>113</v>
      </c>
      <c r="D56">
        <v>1111111100000000</v>
      </c>
      <c r="E56" s="24">
        <v>45088</v>
      </c>
      <c r="F56" s="25">
        <v>0.56714120370370369</v>
      </c>
      <c r="G56" t="s">
        <v>27</v>
      </c>
      <c r="H56" t="s">
        <v>30</v>
      </c>
      <c r="I56" t="s">
        <v>114</v>
      </c>
      <c r="J56" t="s">
        <v>31</v>
      </c>
      <c r="K56" t="s">
        <v>31</v>
      </c>
      <c r="L56" t="s">
        <v>31</v>
      </c>
      <c r="M56">
        <v>61</v>
      </c>
      <c r="N56">
        <v>57</v>
      </c>
      <c r="P56" t="s">
        <v>31</v>
      </c>
      <c r="Q56" s="26">
        <v>45088.566284722219</v>
      </c>
    </row>
    <row r="57" spans="1:19">
      <c r="A57">
        <v>71446</v>
      </c>
      <c r="B57" t="s">
        <v>26</v>
      </c>
      <c r="C57">
        <v>0</v>
      </c>
      <c r="D57">
        <v>0</v>
      </c>
      <c r="E57" s="24">
        <v>45088</v>
      </c>
      <c r="F57" s="25">
        <v>0.56776620370370368</v>
      </c>
      <c r="G57" t="s">
        <v>27</v>
      </c>
      <c r="H57" t="s">
        <v>37</v>
      </c>
      <c r="I57" t="s">
        <v>114</v>
      </c>
      <c r="P57" s="26">
        <v>45088.567604166667</v>
      </c>
      <c r="R57" t="s">
        <v>61</v>
      </c>
    </row>
    <row r="58" spans="1:19">
      <c r="A58">
        <v>71446</v>
      </c>
      <c r="B58" t="s">
        <v>26</v>
      </c>
      <c r="C58" t="s">
        <v>115</v>
      </c>
      <c r="D58">
        <v>1111111100000000</v>
      </c>
      <c r="E58" s="24">
        <v>45088</v>
      </c>
      <c r="F58" s="25">
        <v>0.56865740740740744</v>
      </c>
      <c r="G58" t="s">
        <v>27</v>
      </c>
      <c r="H58" t="s">
        <v>30</v>
      </c>
      <c r="I58" t="s">
        <v>116</v>
      </c>
      <c r="J58" t="s">
        <v>31</v>
      </c>
      <c r="K58" t="s">
        <v>31</v>
      </c>
      <c r="L58" t="s">
        <v>31</v>
      </c>
      <c r="M58">
        <v>79</v>
      </c>
      <c r="N58">
        <v>56</v>
      </c>
      <c r="P58" t="s">
        <v>31</v>
      </c>
      <c r="Q58" s="26">
        <v>45088.567777777775</v>
      </c>
    </row>
    <row r="59" spans="1:19">
      <c r="A59">
        <v>71446</v>
      </c>
      <c r="B59" t="s">
        <v>26</v>
      </c>
      <c r="C59">
        <v>0</v>
      </c>
      <c r="D59">
        <v>0</v>
      </c>
      <c r="E59" s="24">
        <v>45088</v>
      </c>
      <c r="F59" s="25">
        <v>0.56997685185185187</v>
      </c>
      <c r="G59" t="s">
        <v>27</v>
      </c>
      <c r="H59" t="s">
        <v>37</v>
      </c>
      <c r="I59" t="s">
        <v>116</v>
      </c>
      <c r="P59" s="26">
        <v>45088.569606481484</v>
      </c>
      <c r="R59" t="s">
        <v>61</v>
      </c>
    </row>
    <row r="60" spans="1:19">
      <c r="A60">
        <v>71446</v>
      </c>
      <c r="B60" t="s">
        <v>26</v>
      </c>
      <c r="C60" t="s">
        <v>117</v>
      </c>
      <c r="D60">
        <v>1111111100000000</v>
      </c>
      <c r="E60" s="24">
        <v>45088</v>
      </c>
      <c r="F60" s="25">
        <v>0.57084490740740745</v>
      </c>
      <c r="G60" t="s">
        <v>27</v>
      </c>
      <c r="H60" t="s">
        <v>30</v>
      </c>
      <c r="I60" t="s">
        <v>118</v>
      </c>
      <c r="J60" t="s">
        <v>31</v>
      </c>
      <c r="K60" t="s">
        <v>31</v>
      </c>
      <c r="L60" t="s">
        <v>31</v>
      </c>
      <c r="M60">
        <v>73</v>
      </c>
      <c r="N60">
        <v>63</v>
      </c>
      <c r="P60" t="s">
        <v>31</v>
      </c>
      <c r="Q60" s="26">
        <v>45088.569976851853</v>
      </c>
    </row>
    <row r="61" spans="1:19">
      <c r="A61">
        <v>71446</v>
      </c>
      <c r="B61" t="s">
        <v>26</v>
      </c>
      <c r="C61" t="s">
        <v>119</v>
      </c>
      <c r="D61">
        <v>1111111100000000</v>
      </c>
      <c r="E61" s="24">
        <v>45088</v>
      </c>
      <c r="F61" s="25">
        <v>0.57217592592592592</v>
      </c>
      <c r="G61" t="s">
        <v>27</v>
      </c>
      <c r="H61" t="s">
        <v>30</v>
      </c>
      <c r="I61" t="s">
        <v>120</v>
      </c>
      <c r="J61" t="s">
        <v>31</v>
      </c>
      <c r="K61" t="s">
        <v>31</v>
      </c>
      <c r="L61" t="s">
        <v>31</v>
      </c>
      <c r="M61">
        <v>75</v>
      </c>
      <c r="N61">
        <v>57</v>
      </c>
      <c r="P61" t="s">
        <v>31</v>
      </c>
      <c r="Q61" s="26">
        <v>45088.57130787037</v>
      </c>
    </row>
    <row r="62" spans="1:19">
      <c r="A62">
        <v>71446</v>
      </c>
      <c r="B62" t="s">
        <v>26</v>
      </c>
      <c r="C62">
        <v>0</v>
      </c>
      <c r="D62">
        <v>0</v>
      </c>
      <c r="E62" s="24">
        <v>45088</v>
      </c>
      <c r="F62" s="25">
        <v>0.57290509259259259</v>
      </c>
      <c r="G62" t="s">
        <v>27</v>
      </c>
      <c r="H62" t="s">
        <v>37</v>
      </c>
      <c r="I62" t="s">
        <v>120</v>
      </c>
      <c r="P62" s="26">
        <v>45088.572615740741</v>
      </c>
      <c r="R62" t="s">
        <v>61</v>
      </c>
    </row>
    <row r="63" spans="1:19">
      <c r="A63">
        <v>71446</v>
      </c>
      <c r="B63" t="s">
        <v>26</v>
      </c>
      <c r="C63" t="s">
        <v>121</v>
      </c>
      <c r="D63">
        <v>1111111100000000</v>
      </c>
      <c r="E63" s="24">
        <v>45088</v>
      </c>
      <c r="F63" s="25">
        <v>0.57374999999999998</v>
      </c>
      <c r="G63" t="s">
        <v>27</v>
      </c>
      <c r="H63" t="s">
        <v>30</v>
      </c>
      <c r="I63" t="s">
        <v>122</v>
      </c>
      <c r="J63" t="s">
        <v>31</v>
      </c>
      <c r="K63" t="s">
        <v>31</v>
      </c>
      <c r="L63" t="s">
        <v>31</v>
      </c>
      <c r="M63">
        <v>60</v>
      </c>
      <c r="N63">
        <v>59</v>
      </c>
      <c r="P63" t="s">
        <v>31</v>
      </c>
      <c r="Q63" s="26">
        <v>45088.572905092595</v>
      </c>
    </row>
    <row r="64" spans="1:19">
      <c r="A64">
        <v>71446</v>
      </c>
      <c r="B64" t="s">
        <v>26</v>
      </c>
      <c r="C64" t="s">
        <v>123</v>
      </c>
      <c r="D64">
        <v>1111111100000000</v>
      </c>
      <c r="E64" s="24">
        <v>45088</v>
      </c>
      <c r="F64" s="25">
        <v>0.57608796296296294</v>
      </c>
      <c r="G64" t="s">
        <v>27</v>
      </c>
      <c r="H64" t="s">
        <v>30</v>
      </c>
      <c r="I64" t="s">
        <v>124</v>
      </c>
      <c r="J64" t="s">
        <v>31</v>
      </c>
      <c r="K64" t="s">
        <v>31</v>
      </c>
      <c r="L64" t="s">
        <v>31</v>
      </c>
      <c r="M64">
        <v>66</v>
      </c>
      <c r="N64">
        <v>57</v>
      </c>
      <c r="P64" t="s">
        <v>31</v>
      </c>
      <c r="Q64" s="26">
        <v>45088.575231481482</v>
      </c>
    </row>
    <row r="65" spans="1:18">
      <c r="A65">
        <v>71446</v>
      </c>
      <c r="B65" t="s">
        <v>26</v>
      </c>
      <c r="C65" t="s">
        <v>125</v>
      </c>
      <c r="D65">
        <v>1111111100000000</v>
      </c>
      <c r="E65" s="24">
        <v>45088</v>
      </c>
      <c r="F65" s="25">
        <v>0.57775462962962965</v>
      </c>
      <c r="G65" t="s">
        <v>27</v>
      </c>
      <c r="H65" t="s">
        <v>30</v>
      </c>
      <c r="I65" t="s">
        <v>126</v>
      </c>
      <c r="J65" t="s">
        <v>31</v>
      </c>
      <c r="K65" t="s">
        <v>31</v>
      </c>
      <c r="L65" t="s">
        <v>31</v>
      </c>
      <c r="M65">
        <v>68</v>
      </c>
      <c r="N65">
        <v>60</v>
      </c>
      <c r="P65" t="s">
        <v>31</v>
      </c>
      <c r="Q65" s="26">
        <v>45088.576898148145</v>
      </c>
    </row>
    <row r="66" spans="1:18">
      <c r="A66">
        <v>71446</v>
      </c>
      <c r="B66" t="s">
        <v>26</v>
      </c>
      <c r="C66">
        <v>0</v>
      </c>
      <c r="D66">
        <v>0</v>
      </c>
      <c r="E66" s="24">
        <v>45088</v>
      </c>
      <c r="F66" s="25">
        <v>0.57832175925925922</v>
      </c>
      <c r="G66" t="s">
        <v>27</v>
      </c>
      <c r="H66" t="s">
        <v>37</v>
      </c>
      <c r="I66" t="s">
        <v>126</v>
      </c>
      <c r="P66" s="26">
        <v>45088.5781712963</v>
      </c>
      <c r="R66" t="s">
        <v>61</v>
      </c>
    </row>
    <row r="67" spans="1:18">
      <c r="A67">
        <v>71446</v>
      </c>
      <c r="B67" t="s">
        <v>26</v>
      </c>
      <c r="C67" t="s">
        <v>127</v>
      </c>
      <c r="D67">
        <v>1111111100000000</v>
      </c>
      <c r="E67" s="24">
        <v>45088</v>
      </c>
      <c r="F67" s="25">
        <v>0.57915509259259257</v>
      </c>
      <c r="G67" t="s">
        <v>27</v>
      </c>
      <c r="H67" t="s">
        <v>30</v>
      </c>
      <c r="I67" t="s">
        <v>128</v>
      </c>
      <c r="J67" t="s">
        <v>31</v>
      </c>
      <c r="K67" t="s">
        <v>31</v>
      </c>
      <c r="L67" t="s">
        <v>31</v>
      </c>
      <c r="M67">
        <v>40</v>
      </c>
      <c r="N67">
        <v>57</v>
      </c>
      <c r="P67" t="s">
        <v>31</v>
      </c>
      <c r="Q67" s="26">
        <v>45088.578333333331</v>
      </c>
    </row>
    <row r="68" spans="1:18">
      <c r="A68">
        <v>71446</v>
      </c>
      <c r="B68" t="s">
        <v>26</v>
      </c>
      <c r="C68" t="s">
        <v>129</v>
      </c>
      <c r="D68">
        <v>1111111100000000</v>
      </c>
      <c r="E68" s="24">
        <v>45088</v>
      </c>
      <c r="F68" s="25">
        <v>0.58034722222222224</v>
      </c>
      <c r="G68" t="s">
        <v>27</v>
      </c>
      <c r="H68" t="s">
        <v>30</v>
      </c>
      <c r="I68" t="s">
        <v>130</v>
      </c>
      <c r="J68" t="s">
        <v>31</v>
      </c>
      <c r="K68" t="s">
        <v>31</v>
      </c>
      <c r="L68" t="s">
        <v>31</v>
      </c>
      <c r="M68">
        <v>62</v>
      </c>
      <c r="N68">
        <v>59</v>
      </c>
      <c r="P68" t="s">
        <v>31</v>
      </c>
      <c r="Q68" s="26">
        <v>45088.57949074074</v>
      </c>
    </row>
    <row r="69" spans="1:18">
      <c r="A69">
        <v>71446</v>
      </c>
      <c r="B69" t="s">
        <v>26</v>
      </c>
      <c r="C69" t="s">
        <v>131</v>
      </c>
      <c r="D69">
        <v>1111111100000000</v>
      </c>
      <c r="E69" s="24">
        <v>45088</v>
      </c>
      <c r="F69" s="25">
        <v>0.58165509259259263</v>
      </c>
      <c r="G69" t="s">
        <v>27</v>
      </c>
      <c r="H69" t="s">
        <v>30</v>
      </c>
      <c r="I69" t="s">
        <v>132</v>
      </c>
      <c r="J69" t="s">
        <v>31</v>
      </c>
      <c r="K69" t="s">
        <v>31</v>
      </c>
      <c r="L69" t="s">
        <v>31</v>
      </c>
      <c r="M69">
        <v>65</v>
      </c>
      <c r="N69">
        <v>56</v>
      </c>
      <c r="P69" t="s">
        <v>31</v>
      </c>
      <c r="Q69" s="26">
        <v>45088.580810185187</v>
      </c>
    </row>
    <row r="70" spans="1:18">
      <c r="A70">
        <v>71446</v>
      </c>
      <c r="B70" t="s">
        <v>26</v>
      </c>
      <c r="C70" t="s">
        <v>131</v>
      </c>
      <c r="D70">
        <v>1111111100000000</v>
      </c>
      <c r="E70" s="24">
        <v>45088</v>
      </c>
      <c r="F70" s="25">
        <v>0.58339120370370368</v>
      </c>
      <c r="G70" t="s">
        <v>27</v>
      </c>
      <c r="H70" t="s">
        <v>30</v>
      </c>
      <c r="I70" t="s">
        <v>132</v>
      </c>
      <c r="J70" t="s">
        <v>31</v>
      </c>
      <c r="K70" t="s">
        <v>31</v>
      </c>
      <c r="L70" t="s">
        <v>31</v>
      </c>
      <c r="M70">
        <v>66</v>
      </c>
      <c r="N70">
        <v>57</v>
      </c>
      <c r="P70" t="s">
        <v>31</v>
      </c>
      <c r="Q70" s="26">
        <v>45088.58252314815</v>
      </c>
    </row>
    <row r="71" spans="1:18">
      <c r="A71">
        <v>71446</v>
      </c>
      <c r="B71" t="s">
        <v>26</v>
      </c>
      <c r="C71">
        <v>0</v>
      </c>
      <c r="D71">
        <v>0</v>
      </c>
      <c r="E71" s="24">
        <v>45088</v>
      </c>
      <c r="F71" s="25">
        <v>0.60395833333333326</v>
      </c>
      <c r="G71" t="s">
        <v>27</v>
      </c>
      <c r="H71" t="s">
        <v>37</v>
      </c>
      <c r="I71" t="s">
        <v>132</v>
      </c>
      <c r="P71" s="26">
        <v>45088.603865740741</v>
      </c>
      <c r="R71" t="s">
        <v>61</v>
      </c>
    </row>
    <row r="72" spans="1:18">
      <c r="A72">
        <v>71446</v>
      </c>
      <c r="B72" t="s">
        <v>26</v>
      </c>
      <c r="C72" t="s">
        <v>133</v>
      </c>
      <c r="D72">
        <v>1111111100000000</v>
      </c>
      <c r="E72" s="24">
        <v>45088</v>
      </c>
      <c r="F72" s="25">
        <v>0.60484953703703703</v>
      </c>
      <c r="G72" t="s">
        <v>27</v>
      </c>
      <c r="H72" t="s">
        <v>30</v>
      </c>
      <c r="I72" t="s">
        <v>134</v>
      </c>
      <c r="J72" t="s">
        <v>31</v>
      </c>
      <c r="K72" t="s">
        <v>31</v>
      </c>
      <c r="L72" t="s">
        <v>31</v>
      </c>
      <c r="M72">
        <v>57</v>
      </c>
      <c r="N72">
        <v>58</v>
      </c>
      <c r="P72" t="s">
        <v>31</v>
      </c>
      <c r="Q72" s="26">
        <v>45088.603981481479</v>
      </c>
    </row>
    <row r="73" spans="1:18">
      <c r="A73">
        <v>71446</v>
      </c>
      <c r="B73" t="s">
        <v>26</v>
      </c>
      <c r="C73" t="s">
        <v>135</v>
      </c>
      <c r="D73">
        <v>1111111100000000</v>
      </c>
      <c r="E73" s="24">
        <v>45088</v>
      </c>
      <c r="F73" s="25">
        <v>0.60606481481481478</v>
      </c>
      <c r="G73" t="s">
        <v>27</v>
      </c>
      <c r="H73" t="s">
        <v>30</v>
      </c>
      <c r="I73" t="s">
        <v>136</v>
      </c>
      <c r="J73" t="s">
        <v>31</v>
      </c>
      <c r="K73" t="s">
        <v>31</v>
      </c>
      <c r="L73" t="s">
        <v>31</v>
      </c>
      <c r="M73">
        <v>62</v>
      </c>
      <c r="N73">
        <v>59</v>
      </c>
      <c r="P73" t="s">
        <v>31</v>
      </c>
      <c r="Q73" s="26">
        <v>45088.605219907404</v>
      </c>
    </row>
    <row r="74" spans="1:18">
      <c r="A74">
        <v>71446</v>
      </c>
      <c r="B74" t="s">
        <v>26</v>
      </c>
      <c r="C74">
        <v>0</v>
      </c>
      <c r="D74">
        <v>0</v>
      </c>
      <c r="E74" s="24">
        <v>45088</v>
      </c>
      <c r="F74" s="25">
        <v>0.60652777777777778</v>
      </c>
      <c r="G74" t="s">
        <v>27</v>
      </c>
      <c r="H74" t="s">
        <v>37</v>
      </c>
      <c r="I74" t="s">
        <v>136</v>
      </c>
      <c r="P74" s="26">
        <v>45088.606435185182</v>
      </c>
      <c r="R74" t="s">
        <v>61</v>
      </c>
    </row>
    <row r="75" spans="1:18">
      <c r="A75">
        <v>71446</v>
      </c>
      <c r="B75" t="s">
        <v>26</v>
      </c>
      <c r="C75" t="s">
        <v>137</v>
      </c>
      <c r="D75">
        <v>1111111100000000</v>
      </c>
      <c r="E75" s="24">
        <v>45088</v>
      </c>
      <c r="F75" s="25">
        <v>0.60743055555555558</v>
      </c>
      <c r="G75" t="s">
        <v>27</v>
      </c>
      <c r="H75" t="s">
        <v>30</v>
      </c>
      <c r="I75" t="s">
        <v>138</v>
      </c>
      <c r="J75" t="s">
        <v>31</v>
      </c>
      <c r="K75" t="s">
        <v>31</v>
      </c>
      <c r="L75" t="s">
        <v>31</v>
      </c>
      <c r="M75">
        <v>73</v>
      </c>
      <c r="N75">
        <v>56</v>
      </c>
      <c r="P75" t="s">
        <v>31</v>
      </c>
      <c r="Q75" s="26">
        <v>45088.606574074074</v>
      </c>
    </row>
    <row r="76" spans="1:18">
      <c r="A76">
        <v>71446</v>
      </c>
      <c r="B76" t="s">
        <v>26</v>
      </c>
      <c r="C76" t="s">
        <v>139</v>
      </c>
      <c r="D76">
        <v>1111111100000000</v>
      </c>
      <c r="E76" s="24">
        <v>45088</v>
      </c>
      <c r="F76" s="25">
        <v>0.6086111111111111</v>
      </c>
      <c r="G76" t="s">
        <v>27</v>
      </c>
      <c r="H76" t="s">
        <v>30</v>
      </c>
      <c r="I76" t="s">
        <v>140</v>
      </c>
      <c r="J76" t="s">
        <v>31</v>
      </c>
      <c r="K76" t="s">
        <v>31</v>
      </c>
      <c r="L76" t="s">
        <v>31</v>
      </c>
      <c r="M76">
        <v>59</v>
      </c>
      <c r="N76">
        <v>58</v>
      </c>
      <c r="P76" t="s">
        <v>31</v>
      </c>
      <c r="Q76" s="26">
        <v>45088.607754629629</v>
      </c>
    </row>
    <row r="77" spans="1:18">
      <c r="A77">
        <v>71446</v>
      </c>
      <c r="B77" t="s">
        <v>26</v>
      </c>
      <c r="C77" t="s">
        <v>141</v>
      </c>
      <c r="D77">
        <v>1111111100000000</v>
      </c>
      <c r="E77" s="24">
        <v>45088</v>
      </c>
      <c r="F77" s="25">
        <v>0.6097569444444445</v>
      </c>
      <c r="G77" t="s">
        <v>27</v>
      </c>
      <c r="H77" t="s">
        <v>30</v>
      </c>
      <c r="I77" t="s">
        <v>142</v>
      </c>
      <c r="J77" t="s">
        <v>31</v>
      </c>
      <c r="K77" t="s">
        <v>31</v>
      </c>
      <c r="L77" t="s">
        <v>31</v>
      </c>
      <c r="M77">
        <v>56</v>
      </c>
      <c r="N77">
        <v>58</v>
      </c>
      <c r="P77" t="s">
        <v>31</v>
      </c>
      <c r="Q77" s="26">
        <v>45088.608912037038</v>
      </c>
    </row>
    <row r="78" spans="1:18">
      <c r="A78">
        <v>71446</v>
      </c>
      <c r="B78" t="s">
        <v>26</v>
      </c>
      <c r="C78">
        <v>0</v>
      </c>
      <c r="D78">
        <v>0</v>
      </c>
      <c r="E78" s="24">
        <v>45088</v>
      </c>
      <c r="F78" s="25">
        <v>0.61019675925925931</v>
      </c>
      <c r="G78" t="s">
        <v>27</v>
      </c>
      <c r="H78" t="s">
        <v>37</v>
      </c>
      <c r="I78" t="s">
        <v>142</v>
      </c>
      <c r="P78" s="26">
        <v>45088.610034722224</v>
      </c>
      <c r="R78" t="s">
        <v>61</v>
      </c>
    </row>
    <row r="79" spans="1:18">
      <c r="A79">
        <v>71446</v>
      </c>
      <c r="B79" t="s">
        <v>26</v>
      </c>
      <c r="C79" t="s">
        <v>143</v>
      </c>
      <c r="D79">
        <v>1111111100000000</v>
      </c>
      <c r="E79" s="24">
        <v>45088</v>
      </c>
      <c r="F79" s="25">
        <v>0.61106481481481478</v>
      </c>
      <c r="G79" t="s">
        <v>27</v>
      </c>
      <c r="H79" t="s">
        <v>30</v>
      </c>
      <c r="I79" t="s">
        <v>144</v>
      </c>
      <c r="J79" t="s">
        <v>31</v>
      </c>
      <c r="K79" t="s">
        <v>31</v>
      </c>
      <c r="L79" t="s">
        <v>31</v>
      </c>
      <c r="M79">
        <v>75</v>
      </c>
      <c r="N79">
        <v>40</v>
      </c>
      <c r="P79" t="s">
        <v>31</v>
      </c>
      <c r="Q79" s="26">
        <v>45088.610208333332</v>
      </c>
    </row>
    <row r="80" spans="1:18">
      <c r="A80">
        <v>71446</v>
      </c>
      <c r="B80" t="s">
        <v>26</v>
      </c>
      <c r="C80" t="s">
        <v>145</v>
      </c>
      <c r="D80">
        <v>1111111100000000</v>
      </c>
      <c r="E80" s="24">
        <v>45088</v>
      </c>
      <c r="F80" s="25">
        <v>0.6121875</v>
      </c>
      <c r="G80" t="s">
        <v>27</v>
      </c>
      <c r="H80" t="s">
        <v>30</v>
      </c>
      <c r="I80" t="s">
        <v>146</v>
      </c>
      <c r="J80" t="s">
        <v>31</v>
      </c>
      <c r="K80" t="s">
        <v>31</v>
      </c>
      <c r="L80" t="s">
        <v>31</v>
      </c>
      <c r="M80">
        <v>64</v>
      </c>
      <c r="N80">
        <v>58</v>
      </c>
      <c r="P80" t="s">
        <v>31</v>
      </c>
      <c r="Q80" s="26">
        <v>45088.611342592594</v>
      </c>
    </row>
    <row r="81" spans="1:18">
      <c r="A81">
        <v>71446</v>
      </c>
      <c r="B81" t="s">
        <v>26</v>
      </c>
      <c r="C81" t="s">
        <v>147</v>
      </c>
      <c r="D81">
        <v>1111111100000000</v>
      </c>
      <c r="E81" s="24">
        <v>45088</v>
      </c>
      <c r="F81" s="25">
        <v>0.6133912037037037</v>
      </c>
      <c r="G81" t="s">
        <v>27</v>
      </c>
      <c r="H81" t="s">
        <v>30</v>
      </c>
      <c r="I81" t="s">
        <v>148</v>
      </c>
      <c r="J81" t="s">
        <v>31</v>
      </c>
      <c r="K81" t="s">
        <v>31</v>
      </c>
      <c r="L81" t="s">
        <v>31</v>
      </c>
      <c r="M81">
        <v>61</v>
      </c>
      <c r="N81">
        <v>62</v>
      </c>
      <c r="P81" t="s">
        <v>31</v>
      </c>
      <c r="Q81" s="26">
        <v>45088.612534722219</v>
      </c>
    </row>
    <row r="82" spans="1:18">
      <c r="A82">
        <v>71446</v>
      </c>
      <c r="B82" t="s">
        <v>26</v>
      </c>
      <c r="C82" t="s">
        <v>149</v>
      </c>
      <c r="D82">
        <v>1111111100000000</v>
      </c>
      <c r="E82" s="24">
        <v>45088</v>
      </c>
      <c r="F82" s="25">
        <v>0.61453703703703699</v>
      </c>
      <c r="G82" t="s">
        <v>27</v>
      </c>
      <c r="H82" t="s">
        <v>30</v>
      </c>
      <c r="I82" t="s">
        <v>150</v>
      </c>
      <c r="J82" t="s">
        <v>31</v>
      </c>
      <c r="K82" t="s">
        <v>31</v>
      </c>
      <c r="L82" t="s">
        <v>31</v>
      </c>
      <c r="M82">
        <v>58</v>
      </c>
      <c r="N82">
        <v>57</v>
      </c>
      <c r="P82" t="s">
        <v>31</v>
      </c>
      <c r="Q82" s="26">
        <v>45088.613692129627</v>
      </c>
    </row>
    <row r="83" spans="1:18">
      <c r="A83">
        <v>71446</v>
      </c>
      <c r="B83" t="s">
        <v>26</v>
      </c>
      <c r="C83" t="s">
        <v>151</v>
      </c>
      <c r="D83">
        <v>1111111100000000</v>
      </c>
      <c r="E83" s="24">
        <v>45088</v>
      </c>
      <c r="F83" s="25">
        <v>0.61575231481481485</v>
      </c>
      <c r="G83" t="s">
        <v>27</v>
      </c>
      <c r="H83" t="s">
        <v>30</v>
      </c>
      <c r="I83" t="s">
        <v>152</v>
      </c>
      <c r="J83" t="s">
        <v>31</v>
      </c>
      <c r="K83" t="s">
        <v>31</v>
      </c>
      <c r="L83" t="s">
        <v>31</v>
      </c>
      <c r="M83">
        <v>70</v>
      </c>
      <c r="N83">
        <v>66</v>
      </c>
      <c r="P83" t="s">
        <v>31</v>
      </c>
      <c r="Q83" s="26">
        <v>45088.614895833336</v>
      </c>
    </row>
    <row r="84" spans="1:18">
      <c r="A84">
        <v>71446</v>
      </c>
      <c r="B84" t="s">
        <v>26</v>
      </c>
      <c r="C84" t="s">
        <v>153</v>
      </c>
      <c r="D84">
        <v>1111111100000000</v>
      </c>
      <c r="E84" s="24">
        <v>45088</v>
      </c>
      <c r="F84" s="25">
        <v>0.61695601851851845</v>
      </c>
      <c r="G84" t="s">
        <v>27</v>
      </c>
      <c r="H84" t="s">
        <v>30</v>
      </c>
      <c r="I84" t="s">
        <v>154</v>
      </c>
      <c r="J84" t="s">
        <v>31</v>
      </c>
      <c r="K84" t="s">
        <v>31</v>
      </c>
      <c r="L84" t="s">
        <v>31</v>
      </c>
      <c r="M84">
        <v>63</v>
      </c>
      <c r="N84">
        <v>56</v>
      </c>
      <c r="P84" t="s">
        <v>31</v>
      </c>
      <c r="Q84" s="26">
        <v>45088.616111111114</v>
      </c>
    </row>
    <row r="85" spans="1:18">
      <c r="A85">
        <v>71446</v>
      </c>
      <c r="B85" t="s">
        <v>26</v>
      </c>
      <c r="C85" t="s">
        <v>155</v>
      </c>
      <c r="D85">
        <v>1111111100000000</v>
      </c>
      <c r="E85" s="24">
        <v>45088</v>
      </c>
      <c r="F85" s="25">
        <v>0.61824074074074076</v>
      </c>
      <c r="G85" t="s">
        <v>27</v>
      </c>
      <c r="H85" t="s">
        <v>30</v>
      </c>
      <c r="I85" t="s">
        <v>156</v>
      </c>
      <c r="J85" t="s">
        <v>31</v>
      </c>
      <c r="K85" t="s">
        <v>31</v>
      </c>
      <c r="L85" t="s">
        <v>31</v>
      </c>
      <c r="M85">
        <v>79</v>
      </c>
      <c r="N85">
        <v>61</v>
      </c>
      <c r="P85" t="s">
        <v>31</v>
      </c>
      <c r="Q85" s="26">
        <v>45088.617361111108</v>
      </c>
    </row>
    <row r="86" spans="1:18">
      <c r="A86">
        <v>71446</v>
      </c>
      <c r="B86" t="s">
        <v>26</v>
      </c>
      <c r="C86" t="s">
        <v>157</v>
      </c>
      <c r="D86">
        <v>1111111100000000</v>
      </c>
      <c r="E86" s="24">
        <v>45088</v>
      </c>
      <c r="F86" s="25">
        <v>0.62020833333333336</v>
      </c>
      <c r="G86" t="s">
        <v>27</v>
      </c>
      <c r="H86" t="s">
        <v>30</v>
      </c>
      <c r="I86" t="s">
        <v>158</v>
      </c>
      <c r="J86" t="s">
        <v>31</v>
      </c>
      <c r="K86" t="s">
        <v>31</v>
      </c>
      <c r="L86" t="s">
        <v>31</v>
      </c>
      <c r="M86">
        <v>72</v>
      </c>
      <c r="N86">
        <v>56</v>
      </c>
      <c r="P86" t="s">
        <v>31</v>
      </c>
      <c r="Q86" s="26">
        <v>45088.619340277779</v>
      </c>
    </row>
    <row r="87" spans="1:18">
      <c r="A87">
        <v>71446</v>
      </c>
      <c r="B87" t="s">
        <v>26</v>
      </c>
      <c r="C87" t="s">
        <v>159</v>
      </c>
      <c r="D87">
        <v>1111111100000000</v>
      </c>
      <c r="E87" s="24">
        <v>45088</v>
      </c>
      <c r="F87" s="25">
        <v>0.62167824074074074</v>
      </c>
      <c r="G87" t="s">
        <v>27</v>
      </c>
      <c r="H87" t="s">
        <v>30</v>
      </c>
      <c r="I87" t="s">
        <v>160</v>
      </c>
      <c r="J87" t="s">
        <v>31</v>
      </c>
      <c r="K87" t="s">
        <v>31</v>
      </c>
      <c r="L87" t="s">
        <v>31</v>
      </c>
      <c r="M87">
        <v>54</v>
      </c>
      <c r="N87">
        <v>60</v>
      </c>
      <c r="P87" t="s">
        <v>31</v>
      </c>
      <c r="Q87" s="26">
        <v>45088.620844907404</v>
      </c>
    </row>
    <row r="88" spans="1:18">
      <c r="A88">
        <v>71446</v>
      </c>
      <c r="B88" t="s">
        <v>26</v>
      </c>
      <c r="C88" t="s">
        <v>161</v>
      </c>
      <c r="D88">
        <v>1111111100000000</v>
      </c>
      <c r="E88" s="24">
        <v>45088</v>
      </c>
      <c r="F88" s="25">
        <v>0.62337962962962956</v>
      </c>
      <c r="G88" t="s">
        <v>27</v>
      </c>
      <c r="H88" t="s">
        <v>30</v>
      </c>
      <c r="I88" t="s">
        <v>162</v>
      </c>
      <c r="J88" t="s">
        <v>31</v>
      </c>
      <c r="K88" t="s">
        <v>31</v>
      </c>
      <c r="L88" t="s">
        <v>31</v>
      </c>
      <c r="M88">
        <v>71</v>
      </c>
      <c r="N88">
        <v>59</v>
      </c>
      <c r="P88" t="s">
        <v>31</v>
      </c>
      <c r="Q88" s="26">
        <v>45088.622511574074</v>
      </c>
    </row>
    <row r="89" spans="1:18">
      <c r="A89">
        <v>71446</v>
      </c>
      <c r="B89" t="s">
        <v>26</v>
      </c>
      <c r="C89" t="s">
        <v>163</v>
      </c>
      <c r="D89">
        <v>1111111100000000</v>
      </c>
      <c r="E89" s="24">
        <v>45088</v>
      </c>
      <c r="F89" s="25">
        <v>0.62467592592592591</v>
      </c>
      <c r="G89" t="s">
        <v>27</v>
      </c>
      <c r="H89" t="s">
        <v>30</v>
      </c>
      <c r="I89" t="s">
        <v>164</v>
      </c>
      <c r="J89" t="s">
        <v>31</v>
      </c>
      <c r="K89" t="s">
        <v>31</v>
      </c>
      <c r="L89" t="s">
        <v>31</v>
      </c>
      <c r="M89">
        <v>55</v>
      </c>
      <c r="N89">
        <v>61</v>
      </c>
      <c r="P89" t="s">
        <v>31</v>
      </c>
      <c r="Q89" s="26">
        <v>45088.623842592591</v>
      </c>
    </row>
    <row r="90" spans="1:18">
      <c r="A90">
        <v>71446</v>
      </c>
      <c r="B90" t="s">
        <v>26</v>
      </c>
      <c r="C90" t="s">
        <v>165</v>
      </c>
      <c r="D90">
        <v>1111111100000000</v>
      </c>
      <c r="E90" s="24">
        <v>45088</v>
      </c>
      <c r="F90" s="25">
        <v>0.62584490740740739</v>
      </c>
      <c r="G90" t="s">
        <v>27</v>
      </c>
      <c r="H90" t="s">
        <v>30</v>
      </c>
      <c r="I90" t="s">
        <v>166</v>
      </c>
      <c r="J90" t="s">
        <v>31</v>
      </c>
      <c r="K90" t="s">
        <v>31</v>
      </c>
      <c r="L90" t="s">
        <v>31</v>
      </c>
      <c r="M90">
        <v>58</v>
      </c>
      <c r="N90">
        <v>57</v>
      </c>
      <c r="P90" t="s">
        <v>31</v>
      </c>
      <c r="Q90" s="26">
        <v>45088.625</v>
      </c>
    </row>
    <row r="91" spans="1:18">
      <c r="A91">
        <v>71446</v>
      </c>
      <c r="B91" t="s">
        <v>26</v>
      </c>
      <c r="C91" t="s">
        <v>167</v>
      </c>
      <c r="D91">
        <v>1111111100000000</v>
      </c>
      <c r="E91" s="24">
        <v>45088</v>
      </c>
      <c r="F91" s="25">
        <v>0.6270486111111111</v>
      </c>
      <c r="G91" t="s">
        <v>27</v>
      </c>
      <c r="H91" t="s">
        <v>30</v>
      </c>
      <c r="I91" t="s">
        <v>168</v>
      </c>
      <c r="J91" t="s">
        <v>31</v>
      </c>
      <c r="K91" t="s">
        <v>31</v>
      </c>
      <c r="L91" t="s">
        <v>31</v>
      </c>
      <c r="M91">
        <v>66</v>
      </c>
      <c r="N91">
        <v>59</v>
      </c>
      <c r="P91" t="s">
        <v>31</v>
      </c>
      <c r="Q91" s="26">
        <v>45088.626180555555</v>
      </c>
    </row>
    <row r="92" spans="1:18">
      <c r="A92">
        <v>71446</v>
      </c>
      <c r="B92" t="s">
        <v>26</v>
      </c>
      <c r="C92" t="s">
        <v>169</v>
      </c>
      <c r="D92">
        <v>1111111100000000</v>
      </c>
      <c r="E92" s="24">
        <v>45088</v>
      </c>
      <c r="F92" s="25">
        <v>0.62836805555555553</v>
      </c>
      <c r="G92" t="s">
        <v>27</v>
      </c>
      <c r="H92" t="s">
        <v>30</v>
      </c>
      <c r="I92" t="s">
        <v>170</v>
      </c>
      <c r="J92" t="s">
        <v>31</v>
      </c>
      <c r="K92" t="s">
        <v>31</v>
      </c>
      <c r="L92" t="s">
        <v>31</v>
      </c>
      <c r="M92">
        <v>75</v>
      </c>
      <c r="N92">
        <v>58</v>
      </c>
      <c r="P92" t="s">
        <v>31</v>
      </c>
      <c r="Q92" s="26">
        <v>45088.627500000002</v>
      </c>
    </row>
    <row r="93" spans="1:18">
      <c r="A93">
        <v>71446</v>
      </c>
      <c r="B93" t="s">
        <v>26</v>
      </c>
      <c r="C93" t="s">
        <v>171</v>
      </c>
      <c r="D93">
        <v>1111111100000000</v>
      </c>
      <c r="E93" s="24">
        <v>45088</v>
      </c>
      <c r="F93" s="25">
        <v>0.62959490740740742</v>
      </c>
      <c r="G93" t="s">
        <v>27</v>
      </c>
      <c r="H93" t="s">
        <v>30</v>
      </c>
      <c r="I93" t="s">
        <v>172</v>
      </c>
      <c r="J93" t="s">
        <v>31</v>
      </c>
      <c r="K93" t="s">
        <v>31</v>
      </c>
      <c r="L93" t="s">
        <v>31</v>
      </c>
      <c r="M93">
        <v>68</v>
      </c>
      <c r="N93">
        <v>62</v>
      </c>
      <c r="P93" t="s">
        <v>31</v>
      </c>
      <c r="Q93" s="26">
        <v>45088.628738425927</v>
      </c>
    </row>
    <row r="94" spans="1:18">
      <c r="A94">
        <v>71446</v>
      </c>
      <c r="B94" t="s">
        <v>26</v>
      </c>
      <c r="C94" t="s">
        <v>173</v>
      </c>
      <c r="D94">
        <v>1111111100000000</v>
      </c>
      <c r="E94" s="24">
        <v>45088</v>
      </c>
      <c r="F94" s="25">
        <v>0.64575231481481488</v>
      </c>
      <c r="G94" t="s">
        <v>27</v>
      </c>
      <c r="H94" t="s">
        <v>30</v>
      </c>
      <c r="I94" t="s">
        <v>174</v>
      </c>
      <c r="J94" t="s">
        <v>31</v>
      </c>
      <c r="K94" t="s">
        <v>31</v>
      </c>
      <c r="L94" t="s">
        <v>31</v>
      </c>
      <c r="M94">
        <v>69</v>
      </c>
      <c r="N94">
        <v>57</v>
      </c>
      <c r="P94" t="s">
        <v>31</v>
      </c>
      <c r="Q94" s="26">
        <v>45088.644884259258</v>
      </c>
    </row>
    <row r="95" spans="1:18">
      <c r="A95">
        <v>71446</v>
      </c>
      <c r="B95" t="s">
        <v>26</v>
      </c>
      <c r="C95">
        <v>0</v>
      </c>
      <c r="D95">
        <v>0</v>
      </c>
      <c r="E95" s="24">
        <v>45088</v>
      </c>
      <c r="F95" s="25">
        <v>0.64633101851851849</v>
      </c>
      <c r="G95" t="s">
        <v>27</v>
      </c>
      <c r="H95" t="s">
        <v>37</v>
      </c>
      <c r="I95" t="s">
        <v>174</v>
      </c>
      <c r="P95" s="26">
        <v>45088.646168981482</v>
      </c>
      <c r="R95" t="s">
        <v>61</v>
      </c>
    </row>
    <row r="96" spans="1:18">
      <c r="A96">
        <v>71446</v>
      </c>
      <c r="B96" t="s">
        <v>26</v>
      </c>
      <c r="C96" t="s">
        <v>175</v>
      </c>
      <c r="D96">
        <v>1111111100000000</v>
      </c>
      <c r="E96" s="24">
        <v>45088</v>
      </c>
      <c r="F96" s="25">
        <v>0.64892361111111108</v>
      </c>
      <c r="G96" t="s">
        <v>27</v>
      </c>
      <c r="H96" t="s">
        <v>30</v>
      </c>
      <c r="I96" t="s">
        <v>176</v>
      </c>
      <c r="J96" t="s">
        <v>31</v>
      </c>
      <c r="K96" t="s">
        <v>31</v>
      </c>
      <c r="L96" t="s">
        <v>31</v>
      </c>
      <c r="M96">
        <v>58</v>
      </c>
      <c r="N96">
        <v>61</v>
      </c>
      <c r="P96" t="s">
        <v>31</v>
      </c>
      <c r="Q96" s="26">
        <v>45088.648078703707</v>
      </c>
    </row>
    <row r="97" spans="1:17">
      <c r="A97">
        <v>71446</v>
      </c>
      <c r="B97" t="s">
        <v>26</v>
      </c>
      <c r="C97" t="s">
        <v>175</v>
      </c>
      <c r="D97">
        <v>1111111100000000</v>
      </c>
      <c r="E97" s="24">
        <v>45088</v>
      </c>
      <c r="F97" s="25">
        <v>0.65415509259259264</v>
      </c>
      <c r="G97" t="s">
        <v>27</v>
      </c>
      <c r="H97" t="s">
        <v>30</v>
      </c>
      <c r="I97" t="s">
        <v>176</v>
      </c>
      <c r="J97" t="s">
        <v>31</v>
      </c>
      <c r="K97" t="s">
        <v>31</v>
      </c>
      <c r="L97" t="s">
        <v>31</v>
      </c>
      <c r="M97">
        <v>57</v>
      </c>
      <c r="N97">
        <v>60</v>
      </c>
      <c r="P97" t="s">
        <v>31</v>
      </c>
      <c r="Q97" s="26">
        <v>45088.652083333334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248-1A2B-4D1D-B0CA-33FA47BE03B7}">
  <sheetPr codeName="Sheet2"/>
  <dimension ref="A1"/>
  <sheetViews>
    <sheetView workbookViewId="0">
      <selection activeCell="G5" sqref="G5"/>
    </sheetView>
  </sheetViews>
  <sheetFormatPr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nstar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36957-EA29-4810-9B8A-B90C1F3DD970}">
  <sheetPr codeName="Sheet1"/>
  <dimension ref="B2:H305"/>
  <sheetViews>
    <sheetView workbookViewId="0">
      <selection activeCell="C54" sqref="C54"/>
    </sheetView>
  </sheetViews>
  <sheetFormatPr defaultRowHeight="15"/>
  <cols>
    <col min="2" max="2" width="11.85546875" bestFit="1" customWidth="1"/>
    <col min="3" max="3" width="11.42578125" bestFit="1" customWidth="1"/>
    <col min="5" max="5" width="10.7109375" bestFit="1" customWidth="1"/>
  </cols>
  <sheetData>
    <row r="2" spans="2:8">
      <c r="B2" t="s">
        <v>8</v>
      </c>
      <c r="E2" s="4" t="s">
        <v>0</v>
      </c>
      <c r="F2">
        <v>12</v>
      </c>
      <c r="G2" s="2" t="s">
        <v>1</v>
      </c>
      <c r="H2">
        <v>12.99</v>
      </c>
    </row>
    <row r="3" spans="2:8" ht="15.75" thickBot="1">
      <c r="E3" s="4" t="s">
        <v>2</v>
      </c>
      <c r="F3">
        <v>12.424429530201339</v>
      </c>
    </row>
    <row r="4" spans="2:8">
      <c r="B4" s="8" t="s">
        <v>9</v>
      </c>
      <c r="C4" s="8" t="s">
        <v>10</v>
      </c>
      <c r="D4" t="s">
        <v>3</v>
      </c>
    </row>
    <row r="5" spans="2:8">
      <c r="B5" s="3">
        <v>11.9</v>
      </c>
      <c r="C5">
        <f t="array" ref="C5:C66">FREQUENCY(D5:D153,B5:B65)</f>
        <v>0</v>
      </c>
      <c r="D5" s="3">
        <v>12.23</v>
      </c>
      <c r="F5" s="5" t="s">
        <v>4</v>
      </c>
      <c r="G5" s="7">
        <f>STDEVA(D5:D153)</f>
        <v>0.28115443133127072</v>
      </c>
    </row>
    <row r="6" spans="2:8">
      <c r="B6" s="3">
        <v>11.92</v>
      </c>
      <c r="C6">
        <v>0</v>
      </c>
      <c r="D6" s="3">
        <v>12.22</v>
      </c>
      <c r="F6" s="5" t="s">
        <v>5</v>
      </c>
      <c r="G6" s="7">
        <f>3*G5</f>
        <v>0.84346329399381215</v>
      </c>
    </row>
    <row r="7" spans="2:8">
      <c r="B7" s="3">
        <v>11.94</v>
      </c>
      <c r="C7">
        <v>0</v>
      </c>
      <c r="D7" s="3">
        <v>12.19</v>
      </c>
      <c r="F7" s="5" t="s">
        <v>6</v>
      </c>
      <c r="G7" s="7">
        <f>(F3-F2)/G6</f>
        <v>0.50319857808116131</v>
      </c>
    </row>
    <row r="8" spans="2:8">
      <c r="B8" s="3">
        <v>11.96</v>
      </c>
      <c r="C8">
        <v>0</v>
      </c>
      <c r="D8" s="3">
        <v>12.01</v>
      </c>
    </row>
    <row r="9" spans="2:8">
      <c r="B9" s="3">
        <v>11.98</v>
      </c>
      <c r="C9">
        <v>0</v>
      </c>
      <c r="D9" s="3">
        <v>12.69</v>
      </c>
      <c r="F9" s="6" t="s">
        <v>7</v>
      </c>
    </row>
    <row r="10" spans="2:8">
      <c r="B10" s="3">
        <v>12</v>
      </c>
      <c r="C10">
        <v>1</v>
      </c>
      <c r="D10" s="3">
        <v>12.91</v>
      </c>
    </row>
    <row r="11" spans="2:8">
      <c r="B11" s="3">
        <v>12.02</v>
      </c>
      <c r="C11">
        <v>5</v>
      </c>
      <c r="D11" s="3">
        <v>12.45</v>
      </c>
    </row>
    <row r="12" spans="2:8">
      <c r="B12" s="3">
        <v>12.04</v>
      </c>
      <c r="C12">
        <v>4</v>
      </c>
      <c r="D12" s="3">
        <v>12.3</v>
      </c>
    </row>
    <row r="13" spans="2:8">
      <c r="B13" s="3">
        <v>12.06</v>
      </c>
      <c r="C13">
        <v>6</v>
      </c>
      <c r="D13" s="3">
        <v>12.36</v>
      </c>
    </row>
    <row r="14" spans="2:8">
      <c r="B14" s="3">
        <v>12.08</v>
      </c>
      <c r="C14">
        <v>5</v>
      </c>
      <c r="D14" s="3">
        <v>12.1</v>
      </c>
    </row>
    <row r="15" spans="2:8">
      <c r="B15" s="3">
        <v>12.1</v>
      </c>
      <c r="C15">
        <v>3</v>
      </c>
      <c r="D15" s="3">
        <v>12.42</v>
      </c>
    </row>
    <row r="16" spans="2:8">
      <c r="B16" s="3">
        <v>12.12</v>
      </c>
      <c r="C16">
        <v>4</v>
      </c>
      <c r="D16" s="3">
        <v>12.99</v>
      </c>
    </row>
    <row r="17" spans="2:4">
      <c r="B17" s="3">
        <v>12.14</v>
      </c>
      <c r="C17">
        <v>4</v>
      </c>
      <c r="D17" s="3">
        <v>12.59</v>
      </c>
    </row>
    <row r="18" spans="2:4">
      <c r="B18" s="3">
        <v>12.16</v>
      </c>
      <c r="C18">
        <v>1</v>
      </c>
      <c r="D18" s="3">
        <v>12.37</v>
      </c>
    </row>
    <row r="19" spans="2:4">
      <c r="B19" s="3">
        <v>12.18</v>
      </c>
      <c r="C19">
        <v>0</v>
      </c>
      <c r="D19" s="3">
        <v>12.33</v>
      </c>
    </row>
    <row r="20" spans="2:4">
      <c r="B20" s="3">
        <v>12.2</v>
      </c>
      <c r="C20">
        <v>5</v>
      </c>
      <c r="D20" s="3">
        <v>12.83</v>
      </c>
    </row>
    <row r="21" spans="2:4">
      <c r="B21" s="3">
        <v>12.22</v>
      </c>
      <c r="C21">
        <v>5</v>
      </c>
      <c r="D21" s="3">
        <v>12.2</v>
      </c>
    </row>
    <row r="22" spans="2:4">
      <c r="B22" s="3">
        <v>12.24</v>
      </c>
      <c r="C22">
        <v>7</v>
      </c>
      <c r="D22" s="3">
        <v>12.44</v>
      </c>
    </row>
    <row r="23" spans="2:4">
      <c r="B23" s="3">
        <v>12.26</v>
      </c>
      <c r="C23">
        <v>2</v>
      </c>
      <c r="D23" s="3">
        <v>12.78</v>
      </c>
    </row>
    <row r="24" spans="2:4">
      <c r="B24" s="3">
        <v>12.28</v>
      </c>
      <c r="C24">
        <v>2</v>
      </c>
      <c r="D24" s="3">
        <v>12.1</v>
      </c>
    </row>
    <row r="25" spans="2:4">
      <c r="B25" s="3">
        <v>12.3</v>
      </c>
      <c r="C25">
        <v>3</v>
      </c>
      <c r="D25" s="3">
        <v>12.85</v>
      </c>
    </row>
    <row r="26" spans="2:4">
      <c r="B26" s="3">
        <v>12.32</v>
      </c>
      <c r="C26">
        <v>7</v>
      </c>
      <c r="D26" s="3">
        <v>12.39</v>
      </c>
    </row>
    <row r="27" spans="2:4">
      <c r="B27" s="3">
        <v>12.34</v>
      </c>
      <c r="C27">
        <v>3</v>
      </c>
      <c r="D27" s="3">
        <v>12.72</v>
      </c>
    </row>
    <row r="28" spans="2:4">
      <c r="B28" s="3">
        <v>12.36</v>
      </c>
      <c r="C28">
        <v>3</v>
      </c>
      <c r="D28" s="3">
        <v>12.44</v>
      </c>
    </row>
    <row r="29" spans="2:4">
      <c r="B29" s="3">
        <v>12.38</v>
      </c>
      <c r="C29">
        <v>3</v>
      </c>
      <c r="D29" s="3">
        <v>12.11</v>
      </c>
    </row>
    <row r="30" spans="2:4">
      <c r="B30" s="3">
        <v>12.4</v>
      </c>
      <c r="C30">
        <v>6</v>
      </c>
      <c r="D30" s="3">
        <v>12.06</v>
      </c>
    </row>
    <row r="31" spans="2:4">
      <c r="B31" s="3">
        <v>12.42</v>
      </c>
      <c r="C31">
        <v>5</v>
      </c>
      <c r="D31" s="3">
        <v>12.91</v>
      </c>
    </row>
    <row r="32" spans="2:4">
      <c r="B32" s="3">
        <v>12.44</v>
      </c>
      <c r="C32">
        <v>4</v>
      </c>
      <c r="D32" s="3">
        <v>12.24</v>
      </c>
    </row>
    <row r="33" spans="2:4">
      <c r="B33" s="3">
        <v>12.46</v>
      </c>
      <c r="C33">
        <v>3</v>
      </c>
      <c r="D33" s="3">
        <v>12.39</v>
      </c>
    </row>
    <row r="34" spans="2:4">
      <c r="B34" s="3">
        <v>12.48</v>
      </c>
      <c r="C34">
        <v>1</v>
      </c>
      <c r="D34" s="3">
        <v>12.52</v>
      </c>
    </row>
    <row r="35" spans="2:4">
      <c r="B35" s="3">
        <v>12.5</v>
      </c>
      <c r="C35">
        <v>1</v>
      </c>
      <c r="D35" s="3">
        <v>12.01</v>
      </c>
    </row>
    <row r="36" spans="2:4">
      <c r="B36" s="3">
        <v>12.52</v>
      </c>
      <c r="C36">
        <v>3</v>
      </c>
      <c r="D36" s="3">
        <v>12.3</v>
      </c>
    </row>
    <row r="37" spans="2:4">
      <c r="B37" s="3">
        <v>12.54</v>
      </c>
      <c r="C37">
        <v>4</v>
      </c>
      <c r="D37" s="3">
        <v>12.44</v>
      </c>
    </row>
    <row r="38" spans="2:4">
      <c r="B38" s="3">
        <v>12.56</v>
      </c>
      <c r="C38">
        <v>2</v>
      </c>
      <c r="D38" s="3">
        <v>12.42</v>
      </c>
    </row>
    <row r="39" spans="2:4">
      <c r="B39" s="3">
        <v>12.58</v>
      </c>
      <c r="C39">
        <v>2</v>
      </c>
      <c r="D39" s="3">
        <v>12.53</v>
      </c>
    </row>
    <row r="40" spans="2:4">
      <c r="B40" s="3">
        <v>12.6</v>
      </c>
      <c r="C40">
        <v>3</v>
      </c>
      <c r="D40" s="3">
        <v>12.28</v>
      </c>
    </row>
    <row r="41" spans="2:4">
      <c r="B41" s="3">
        <v>12.62</v>
      </c>
      <c r="C41">
        <v>2</v>
      </c>
      <c r="D41" s="3">
        <v>12.4</v>
      </c>
    </row>
    <row r="42" spans="2:4">
      <c r="B42" s="3">
        <v>12.64</v>
      </c>
      <c r="C42">
        <v>1</v>
      </c>
      <c r="D42" s="3">
        <v>12.84</v>
      </c>
    </row>
    <row r="43" spans="2:4">
      <c r="B43" s="3">
        <v>12.66</v>
      </c>
      <c r="C43">
        <v>1</v>
      </c>
      <c r="D43" s="3">
        <v>12.34</v>
      </c>
    </row>
    <row r="44" spans="2:4">
      <c r="B44" s="3">
        <v>12.68</v>
      </c>
      <c r="C44">
        <v>1</v>
      </c>
      <c r="D44" s="3">
        <v>12.71</v>
      </c>
    </row>
    <row r="45" spans="2:4">
      <c r="B45" s="3">
        <v>12.7</v>
      </c>
      <c r="C45">
        <v>4</v>
      </c>
      <c r="D45" s="3">
        <v>12.26</v>
      </c>
    </row>
    <row r="46" spans="2:4">
      <c r="B46" s="3">
        <v>12.72</v>
      </c>
      <c r="C46">
        <v>3</v>
      </c>
      <c r="D46" s="3">
        <v>12.77</v>
      </c>
    </row>
    <row r="47" spans="2:4">
      <c r="B47" s="3">
        <v>12.74</v>
      </c>
      <c r="C47">
        <v>1</v>
      </c>
      <c r="D47" s="3">
        <v>12.29</v>
      </c>
    </row>
    <row r="48" spans="2:4">
      <c r="B48" s="3">
        <v>12.76</v>
      </c>
      <c r="C48">
        <v>1</v>
      </c>
      <c r="D48" s="3">
        <v>12.23</v>
      </c>
    </row>
    <row r="49" spans="2:4">
      <c r="B49" s="3">
        <v>12.78</v>
      </c>
      <c r="C49">
        <v>7</v>
      </c>
      <c r="D49" s="3">
        <v>12.96</v>
      </c>
    </row>
    <row r="50" spans="2:4">
      <c r="B50" s="3">
        <v>12.8</v>
      </c>
      <c r="C50">
        <v>4</v>
      </c>
      <c r="D50" s="3">
        <v>12.4</v>
      </c>
    </row>
    <row r="51" spans="2:4">
      <c r="B51" s="3">
        <v>12.82</v>
      </c>
      <c r="C51">
        <v>0</v>
      </c>
      <c r="D51" s="3">
        <v>12.53</v>
      </c>
    </row>
    <row r="52" spans="2:4">
      <c r="B52" s="3">
        <v>12.84</v>
      </c>
      <c r="C52">
        <v>3</v>
      </c>
      <c r="D52" s="3">
        <v>12.36</v>
      </c>
    </row>
    <row r="53" spans="2:4">
      <c r="B53" s="3">
        <v>12.86</v>
      </c>
      <c r="C53">
        <v>2</v>
      </c>
      <c r="D53" s="3">
        <v>12.14</v>
      </c>
    </row>
    <row r="54" spans="2:4">
      <c r="B54" s="3">
        <v>12.88</v>
      </c>
      <c r="C54">
        <v>2</v>
      </c>
      <c r="D54" s="3">
        <v>12.02</v>
      </c>
    </row>
    <row r="55" spans="2:4">
      <c r="B55" s="3">
        <v>12.9</v>
      </c>
      <c r="C55">
        <v>2</v>
      </c>
      <c r="D55" s="3">
        <v>12.71</v>
      </c>
    </row>
    <row r="56" spans="2:4">
      <c r="B56" s="3">
        <v>12.92</v>
      </c>
      <c r="C56">
        <v>3</v>
      </c>
      <c r="D56" s="3">
        <v>12.59</v>
      </c>
    </row>
    <row r="57" spans="2:4">
      <c r="B57" s="3">
        <v>12.94</v>
      </c>
      <c r="C57">
        <v>1</v>
      </c>
      <c r="D57" s="3">
        <v>12.78</v>
      </c>
    </row>
    <row r="58" spans="2:4">
      <c r="B58" s="3">
        <v>12.96</v>
      </c>
      <c r="C58">
        <v>2</v>
      </c>
      <c r="D58" s="3">
        <v>12.9</v>
      </c>
    </row>
    <row r="59" spans="2:4">
      <c r="B59" s="3">
        <v>12.98</v>
      </c>
      <c r="C59">
        <v>1</v>
      </c>
      <c r="D59" s="3">
        <v>12.31</v>
      </c>
    </row>
    <row r="60" spans="2:4">
      <c r="B60" s="3">
        <v>13</v>
      </c>
      <c r="C60">
        <v>1</v>
      </c>
      <c r="D60" s="3">
        <v>12.2</v>
      </c>
    </row>
    <row r="61" spans="2:4">
      <c r="B61" s="3">
        <v>13.02</v>
      </c>
      <c r="C61">
        <v>0</v>
      </c>
      <c r="D61" s="3">
        <v>12.98</v>
      </c>
    </row>
    <row r="62" spans="2:4">
      <c r="B62" s="3">
        <v>13.04</v>
      </c>
      <c r="C62">
        <v>0</v>
      </c>
      <c r="D62" s="3">
        <v>12.4</v>
      </c>
    </row>
    <row r="63" spans="2:4">
      <c r="B63" s="3">
        <v>13.06</v>
      </c>
      <c r="C63">
        <v>0</v>
      </c>
      <c r="D63" s="3">
        <v>12.14</v>
      </c>
    </row>
    <row r="64" spans="2:4">
      <c r="B64" s="3">
        <v>13.08</v>
      </c>
      <c r="C64">
        <v>0</v>
      </c>
      <c r="D64" s="3">
        <v>12.79</v>
      </c>
    </row>
    <row r="65" spans="2:4">
      <c r="B65" s="3">
        <v>13.1</v>
      </c>
      <c r="C65">
        <v>0</v>
      </c>
      <c r="D65" s="3">
        <v>12.01</v>
      </c>
    </row>
    <row r="66" spans="2:4">
      <c r="B66" s="3"/>
      <c r="C66">
        <v>0</v>
      </c>
      <c r="D66" s="3">
        <v>12.34</v>
      </c>
    </row>
    <row r="67" spans="2:4">
      <c r="B67" s="3"/>
      <c r="D67" s="3">
        <v>12.67</v>
      </c>
    </row>
    <row r="68" spans="2:4">
      <c r="B68" s="3"/>
      <c r="D68" s="3">
        <v>12.75</v>
      </c>
    </row>
    <row r="69" spans="2:4">
      <c r="B69" s="3"/>
      <c r="D69" s="3">
        <v>12.62</v>
      </c>
    </row>
    <row r="70" spans="2:4">
      <c r="B70" s="3"/>
      <c r="D70" s="3">
        <v>12.55</v>
      </c>
    </row>
    <row r="71" spans="2:4">
      <c r="B71" s="3"/>
      <c r="D71" s="3">
        <v>12.62</v>
      </c>
    </row>
    <row r="72" spans="2:4">
      <c r="B72" s="3"/>
      <c r="D72" s="3">
        <v>12.21</v>
      </c>
    </row>
    <row r="73" spans="2:4">
      <c r="B73" s="3"/>
      <c r="D73" s="3">
        <v>12</v>
      </c>
    </row>
    <row r="74" spans="2:4">
      <c r="B74" s="3"/>
      <c r="D74" s="3">
        <v>12.05</v>
      </c>
    </row>
    <row r="75" spans="2:4">
      <c r="B75" s="3"/>
      <c r="D75" s="3">
        <v>12.06</v>
      </c>
    </row>
    <row r="76" spans="2:4">
      <c r="B76" s="3"/>
      <c r="D76" s="3">
        <v>12.9</v>
      </c>
    </row>
    <row r="77" spans="2:4">
      <c r="B77" s="3"/>
      <c r="D77" s="3">
        <v>12.52</v>
      </c>
    </row>
    <row r="78" spans="2:4">
      <c r="B78" s="3"/>
      <c r="D78" s="3">
        <v>12.55</v>
      </c>
    </row>
    <row r="79" spans="2:4">
      <c r="B79" s="3"/>
      <c r="D79" s="3">
        <v>12.07</v>
      </c>
    </row>
    <row r="80" spans="2:4">
      <c r="B80" s="3"/>
      <c r="D80" s="3">
        <v>12.7</v>
      </c>
    </row>
    <row r="81" spans="2:4">
      <c r="B81" s="3"/>
      <c r="D81" s="3">
        <v>12.7</v>
      </c>
    </row>
    <row r="82" spans="2:4">
      <c r="B82" s="3"/>
      <c r="D82" s="3">
        <v>12.93</v>
      </c>
    </row>
    <row r="83" spans="2:4">
      <c r="B83" s="3"/>
      <c r="D83" s="3">
        <v>12.04</v>
      </c>
    </row>
    <row r="84" spans="2:4">
      <c r="B84" s="3"/>
      <c r="D84" s="3">
        <v>12.21</v>
      </c>
    </row>
    <row r="85" spans="2:4">
      <c r="B85" s="3"/>
      <c r="D85" s="3">
        <v>12.12</v>
      </c>
    </row>
    <row r="86" spans="2:4">
      <c r="B86" s="3"/>
      <c r="D86" s="3">
        <v>12.32</v>
      </c>
    </row>
    <row r="87" spans="2:4">
      <c r="B87" s="3"/>
      <c r="D87" s="3">
        <v>12.14</v>
      </c>
    </row>
    <row r="88" spans="2:4">
      <c r="B88" s="3"/>
      <c r="D88" s="3">
        <v>12.73</v>
      </c>
    </row>
    <row r="89" spans="2:4">
      <c r="B89" s="3"/>
      <c r="D89" s="3">
        <v>12.92</v>
      </c>
    </row>
    <row r="90" spans="2:4">
      <c r="B90" s="3"/>
      <c r="D90" s="3">
        <v>12.45</v>
      </c>
    </row>
    <row r="91" spans="2:4">
      <c r="B91" s="3"/>
      <c r="D91" s="3">
        <v>12.09</v>
      </c>
    </row>
    <row r="92" spans="2:4">
      <c r="B92" s="3"/>
      <c r="D92" s="3">
        <v>12.31</v>
      </c>
    </row>
    <row r="93" spans="2:4">
      <c r="B93" s="3"/>
      <c r="D93" s="3">
        <v>12.8</v>
      </c>
    </row>
    <row r="94" spans="2:4">
      <c r="B94" s="3"/>
      <c r="D94" s="3">
        <v>12.23</v>
      </c>
    </row>
    <row r="95" spans="2:4">
      <c r="B95" s="3"/>
      <c r="D95" s="3">
        <v>12.42</v>
      </c>
    </row>
    <row r="96" spans="2:4">
      <c r="B96" s="3"/>
      <c r="D96" s="3">
        <v>12.08</v>
      </c>
    </row>
    <row r="97" spans="2:4">
      <c r="B97" s="3"/>
      <c r="D97" s="3">
        <v>12.52</v>
      </c>
    </row>
    <row r="98" spans="2:4">
      <c r="B98" s="3"/>
      <c r="D98" s="3">
        <v>12.04</v>
      </c>
    </row>
    <row r="99" spans="2:4">
      <c r="B99" s="3"/>
      <c r="D99" s="3">
        <v>12.57</v>
      </c>
    </row>
    <row r="100" spans="2:4">
      <c r="B100" s="3"/>
      <c r="D100" s="3">
        <v>12.66</v>
      </c>
    </row>
    <row r="101" spans="2:4">
      <c r="B101" s="3"/>
      <c r="D101" s="3">
        <v>12.04</v>
      </c>
    </row>
    <row r="102" spans="2:4">
      <c r="B102" s="3"/>
      <c r="D102" s="3">
        <v>12.85</v>
      </c>
    </row>
    <row r="103" spans="2:4">
      <c r="B103" s="3"/>
      <c r="D103" s="3">
        <v>12.8</v>
      </c>
    </row>
    <row r="104" spans="2:4">
      <c r="B104" s="3"/>
      <c r="D104" s="3">
        <v>12.38</v>
      </c>
    </row>
    <row r="105" spans="2:4">
      <c r="B105" s="3"/>
      <c r="D105" s="3">
        <v>12.04</v>
      </c>
    </row>
    <row r="106" spans="2:4">
      <c r="B106" s="3"/>
      <c r="D106" s="3">
        <v>12.28</v>
      </c>
    </row>
    <row r="107" spans="2:4">
      <c r="B107" s="3"/>
      <c r="D107" s="3">
        <v>12.12</v>
      </c>
    </row>
    <row r="108" spans="2:4">
      <c r="B108" s="3"/>
      <c r="D108" s="3">
        <v>12.35</v>
      </c>
    </row>
    <row r="109" spans="2:4">
      <c r="B109" s="3"/>
      <c r="D109" s="3">
        <v>12.22</v>
      </c>
    </row>
    <row r="110" spans="2:4">
      <c r="B110" s="3"/>
      <c r="D110" s="3">
        <v>12.24</v>
      </c>
    </row>
    <row r="111" spans="2:4">
      <c r="B111" s="3"/>
      <c r="D111" s="3">
        <v>12.59</v>
      </c>
    </row>
    <row r="112" spans="2:4">
      <c r="B112" s="3"/>
      <c r="D112" s="3">
        <v>12.31</v>
      </c>
    </row>
    <row r="113" spans="2:4">
      <c r="B113" s="3"/>
      <c r="D113" s="3">
        <v>12.22</v>
      </c>
    </row>
    <row r="114" spans="2:4">
      <c r="B114" s="3"/>
      <c r="D114" s="3">
        <v>12.31</v>
      </c>
    </row>
    <row r="115" spans="2:4">
      <c r="B115" s="3"/>
      <c r="D115" s="3">
        <v>12.38</v>
      </c>
    </row>
    <row r="116" spans="2:4">
      <c r="B116" s="3"/>
      <c r="D116" s="3">
        <v>12.05</v>
      </c>
    </row>
    <row r="117" spans="2:4">
      <c r="B117" s="3"/>
      <c r="D117" s="3">
        <v>12.07</v>
      </c>
    </row>
    <row r="118" spans="2:4">
      <c r="B118" s="3"/>
      <c r="D118" s="3">
        <v>12.06</v>
      </c>
    </row>
    <row r="119" spans="2:4">
      <c r="B119" s="3"/>
      <c r="D119" s="3">
        <v>12.43</v>
      </c>
    </row>
    <row r="120" spans="2:4">
      <c r="B120" s="3"/>
      <c r="D120" s="3">
        <v>12.19</v>
      </c>
    </row>
    <row r="121" spans="2:4">
      <c r="B121" s="3"/>
      <c r="D121" s="3">
        <v>12.32</v>
      </c>
    </row>
    <row r="122" spans="2:4">
      <c r="B122" s="3"/>
      <c r="D122" s="3">
        <v>12.25</v>
      </c>
    </row>
    <row r="123" spans="2:4">
      <c r="B123" s="3"/>
      <c r="D123" s="3">
        <v>12.78</v>
      </c>
    </row>
    <row r="124" spans="2:4">
      <c r="B124" s="3"/>
      <c r="D124" s="3">
        <v>12.69</v>
      </c>
    </row>
    <row r="125" spans="2:4">
      <c r="B125" s="3"/>
      <c r="D125" s="3">
        <v>12.5</v>
      </c>
    </row>
    <row r="126" spans="2:4">
      <c r="B126" s="3"/>
      <c r="D126" s="3">
        <v>12.23</v>
      </c>
    </row>
    <row r="127" spans="2:4">
      <c r="B127" s="3"/>
      <c r="D127" s="3">
        <v>12.53</v>
      </c>
    </row>
    <row r="128" spans="2:4">
      <c r="B128" s="3"/>
      <c r="D128" s="3">
        <v>12.31</v>
      </c>
    </row>
    <row r="129" spans="2:4">
      <c r="B129" s="3"/>
      <c r="D129" s="3">
        <v>12.08</v>
      </c>
    </row>
    <row r="130" spans="2:4">
      <c r="B130" s="3"/>
      <c r="D130" s="3">
        <v>12.45</v>
      </c>
    </row>
    <row r="131" spans="2:4">
      <c r="B131" s="3"/>
      <c r="D131" s="3">
        <v>12.58</v>
      </c>
    </row>
    <row r="132" spans="2:4">
      <c r="B132" s="3"/>
      <c r="D132" s="3">
        <v>12.83</v>
      </c>
    </row>
    <row r="133" spans="2:4">
      <c r="B133" s="3"/>
      <c r="D133" s="3">
        <v>12.41</v>
      </c>
    </row>
    <row r="134" spans="2:4">
      <c r="B134" s="3"/>
      <c r="D134" s="3">
        <v>12.88</v>
      </c>
    </row>
    <row r="135" spans="2:4">
      <c r="B135" s="3"/>
      <c r="D135" s="3">
        <v>12.54</v>
      </c>
    </row>
    <row r="136" spans="2:4">
      <c r="B136" s="3"/>
      <c r="D136" s="3">
        <v>12.23</v>
      </c>
    </row>
    <row r="137" spans="2:4">
      <c r="B137" s="3"/>
      <c r="D137" s="3">
        <v>12.06</v>
      </c>
    </row>
    <row r="138" spans="2:4">
      <c r="B138" s="3"/>
      <c r="D138" s="3">
        <v>12.64</v>
      </c>
    </row>
    <row r="139" spans="2:4">
      <c r="B139" s="3"/>
      <c r="D139" s="3">
        <v>12.95</v>
      </c>
    </row>
    <row r="140" spans="2:4">
      <c r="B140" s="3"/>
      <c r="D140" s="3">
        <v>12.42</v>
      </c>
    </row>
    <row r="141" spans="2:4">
      <c r="B141" s="3"/>
      <c r="D141" s="3">
        <v>12.88</v>
      </c>
    </row>
    <row r="142" spans="2:4">
      <c r="B142" s="3"/>
      <c r="D142" s="3">
        <v>12.79</v>
      </c>
    </row>
    <row r="143" spans="2:4">
      <c r="B143" s="3"/>
      <c r="D143" s="3">
        <v>12.07</v>
      </c>
    </row>
    <row r="144" spans="2:4">
      <c r="B144" s="3"/>
      <c r="D144" s="3">
        <v>12.11</v>
      </c>
    </row>
    <row r="145" spans="2:4">
      <c r="B145" s="3"/>
      <c r="D145" s="3">
        <v>12.77</v>
      </c>
    </row>
    <row r="146" spans="2:4">
      <c r="B146" s="3"/>
      <c r="D146" s="3">
        <v>12.48</v>
      </c>
    </row>
    <row r="147" spans="2:4">
      <c r="B147" s="3"/>
      <c r="D147" s="3">
        <v>12.15</v>
      </c>
    </row>
    <row r="148" spans="2:4">
      <c r="B148" s="3"/>
      <c r="D148" s="3">
        <v>12.14</v>
      </c>
    </row>
    <row r="149" spans="2:4">
      <c r="B149" s="3"/>
      <c r="D149" s="3">
        <v>12.4</v>
      </c>
    </row>
    <row r="150" spans="2:4">
      <c r="B150" s="3"/>
      <c r="D150" s="3">
        <v>12.77</v>
      </c>
    </row>
    <row r="151" spans="2:4">
      <c r="B151" s="3"/>
      <c r="D151" s="3">
        <v>12.2</v>
      </c>
    </row>
    <row r="152" spans="2:4">
      <c r="B152" s="3"/>
      <c r="D152" s="3">
        <v>12.78</v>
      </c>
    </row>
    <row r="153" spans="2:4">
      <c r="B153" s="3"/>
      <c r="D153" s="3">
        <v>12.02</v>
      </c>
    </row>
    <row r="154" spans="2:4">
      <c r="B154" s="3"/>
    </row>
    <row r="155" spans="2:4">
      <c r="B155" s="3"/>
    </row>
    <row r="156" spans="2:4">
      <c r="B156" s="3"/>
    </row>
    <row r="157" spans="2:4">
      <c r="B157" s="3"/>
    </row>
    <row r="158" spans="2:4">
      <c r="B158" s="3"/>
    </row>
    <row r="159" spans="2:4">
      <c r="B159" s="3"/>
    </row>
    <row r="160" spans="2:4">
      <c r="B160" s="3"/>
    </row>
    <row r="161" spans="2:2">
      <c r="B161" s="3"/>
    </row>
    <row r="162" spans="2:2">
      <c r="B162" s="3"/>
    </row>
    <row r="163" spans="2:2">
      <c r="B163" s="3"/>
    </row>
    <row r="164" spans="2:2">
      <c r="B164" s="3"/>
    </row>
    <row r="165" spans="2:2">
      <c r="B165" s="3"/>
    </row>
    <row r="166" spans="2:2">
      <c r="B166" s="3"/>
    </row>
    <row r="167" spans="2:2">
      <c r="B167" s="3"/>
    </row>
    <row r="168" spans="2:2">
      <c r="B168" s="3"/>
    </row>
    <row r="169" spans="2:2">
      <c r="B169" s="3"/>
    </row>
    <row r="170" spans="2:2">
      <c r="B170" s="3"/>
    </row>
    <row r="171" spans="2:2">
      <c r="B171" s="3"/>
    </row>
    <row r="172" spans="2:2">
      <c r="B172" s="3"/>
    </row>
    <row r="173" spans="2:2">
      <c r="B173" s="3"/>
    </row>
    <row r="174" spans="2:2">
      <c r="B174" s="3"/>
    </row>
    <row r="175" spans="2:2">
      <c r="B175" s="3"/>
    </row>
    <row r="176" spans="2:2">
      <c r="B176" s="3"/>
    </row>
    <row r="177" spans="2:2">
      <c r="B177" s="3"/>
    </row>
    <row r="178" spans="2:2">
      <c r="B178" s="3"/>
    </row>
    <row r="179" spans="2:2">
      <c r="B179" s="3"/>
    </row>
    <row r="180" spans="2:2">
      <c r="B180" s="3"/>
    </row>
    <row r="181" spans="2:2">
      <c r="B181" s="3"/>
    </row>
    <row r="182" spans="2:2">
      <c r="B182" s="3"/>
    </row>
    <row r="183" spans="2:2">
      <c r="B183" s="3"/>
    </row>
    <row r="184" spans="2:2">
      <c r="B184" s="3"/>
    </row>
    <row r="185" spans="2:2">
      <c r="B185" s="3"/>
    </row>
    <row r="186" spans="2:2">
      <c r="B186" s="3"/>
    </row>
    <row r="187" spans="2:2">
      <c r="B187" s="3"/>
    </row>
    <row r="188" spans="2:2">
      <c r="B188" s="3"/>
    </row>
    <row r="189" spans="2:2">
      <c r="B189" s="3"/>
    </row>
    <row r="190" spans="2:2">
      <c r="B190" s="3"/>
    </row>
    <row r="191" spans="2:2">
      <c r="B191" s="3"/>
    </row>
    <row r="192" spans="2:2">
      <c r="B192" s="3"/>
    </row>
    <row r="193" spans="2:2">
      <c r="B193" s="3"/>
    </row>
    <row r="194" spans="2:2">
      <c r="B194" s="3"/>
    </row>
    <row r="195" spans="2:2">
      <c r="B195" s="3"/>
    </row>
    <row r="196" spans="2:2">
      <c r="B196" s="3"/>
    </row>
    <row r="197" spans="2:2">
      <c r="B197" s="3"/>
    </row>
    <row r="198" spans="2:2">
      <c r="B198" s="3"/>
    </row>
    <row r="199" spans="2:2">
      <c r="B199" s="3"/>
    </row>
    <row r="200" spans="2:2">
      <c r="B200" s="3"/>
    </row>
    <row r="201" spans="2:2">
      <c r="B201" s="3"/>
    </row>
    <row r="202" spans="2:2">
      <c r="B202" s="3"/>
    </row>
    <row r="203" spans="2:2">
      <c r="B203" s="3"/>
    </row>
    <row r="204" spans="2:2">
      <c r="B204" s="3"/>
    </row>
    <row r="205" spans="2:2">
      <c r="B205" s="3"/>
    </row>
    <row r="206" spans="2:2">
      <c r="B206" s="3"/>
    </row>
    <row r="207" spans="2:2">
      <c r="B207" s="3"/>
    </row>
    <row r="208" spans="2:2">
      <c r="B208" s="3"/>
    </row>
    <row r="209" spans="2:2">
      <c r="B209" s="3"/>
    </row>
    <row r="210" spans="2:2">
      <c r="B210" s="3"/>
    </row>
    <row r="211" spans="2:2">
      <c r="B211" s="3"/>
    </row>
    <row r="212" spans="2:2">
      <c r="B212" s="3"/>
    </row>
    <row r="213" spans="2:2">
      <c r="B213" s="3"/>
    </row>
    <row r="214" spans="2:2">
      <c r="B214" s="3"/>
    </row>
    <row r="215" spans="2:2">
      <c r="B215" s="3"/>
    </row>
    <row r="216" spans="2:2">
      <c r="B216" s="3"/>
    </row>
    <row r="217" spans="2:2">
      <c r="B217" s="3"/>
    </row>
    <row r="218" spans="2:2">
      <c r="B218" s="3"/>
    </row>
    <row r="219" spans="2:2">
      <c r="B219" s="3"/>
    </row>
    <row r="220" spans="2:2">
      <c r="B220" s="3"/>
    </row>
    <row r="221" spans="2:2">
      <c r="B221" s="3"/>
    </row>
    <row r="222" spans="2:2">
      <c r="B222" s="3"/>
    </row>
    <row r="223" spans="2:2">
      <c r="B223" s="3"/>
    </row>
    <row r="224" spans="2:2">
      <c r="B224" s="3"/>
    </row>
    <row r="225" spans="2:2">
      <c r="B225" s="3"/>
    </row>
    <row r="226" spans="2:2">
      <c r="B226" s="3"/>
    </row>
    <row r="227" spans="2:2">
      <c r="B227" s="3"/>
    </row>
    <row r="228" spans="2:2">
      <c r="B228" s="3"/>
    </row>
    <row r="229" spans="2:2">
      <c r="B229" s="3"/>
    </row>
    <row r="230" spans="2:2">
      <c r="B230" s="3"/>
    </row>
    <row r="231" spans="2:2">
      <c r="B231" s="3"/>
    </row>
    <row r="232" spans="2:2">
      <c r="B232" s="3"/>
    </row>
    <row r="233" spans="2:2">
      <c r="B233" s="3"/>
    </row>
    <row r="234" spans="2:2">
      <c r="B234" s="3"/>
    </row>
    <row r="235" spans="2:2">
      <c r="B235" s="3"/>
    </row>
    <row r="236" spans="2:2">
      <c r="B236" s="3"/>
    </row>
    <row r="237" spans="2:2">
      <c r="B237" s="3"/>
    </row>
    <row r="238" spans="2:2">
      <c r="B238" s="3"/>
    </row>
    <row r="239" spans="2:2">
      <c r="B239" s="3"/>
    </row>
    <row r="240" spans="2:2">
      <c r="B240" s="3"/>
    </row>
    <row r="241" spans="2:2">
      <c r="B241" s="3"/>
    </row>
    <row r="242" spans="2:2">
      <c r="B242" s="3"/>
    </row>
    <row r="243" spans="2:2">
      <c r="B243" s="3"/>
    </row>
    <row r="244" spans="2:2">
      <c r="B244" s="3"/>
    </row>
    <row r="245" spans="2:2">
      <c r="B245" s="3"/>
    </row>
    <row r="246" spans="2:2">
      <c r="B246" s="3"/>
    </row>
    <row r="247" spans="2:2">
      <c r="B247" s="3"/>
    </row>
    <row r="248" spans="2:2">
      <c r="B248" s="3"/>
    </row>
    <row r="249" spans="2:2">
      <c r="B249" s="3"/>
    </row>
    <row r="250" spans="2:2">
      <c r="B250" s="3"/>
    </row>
    <row r="251" spans="2:2">
      <c r="B251" s="3"/>
    </row>
    <row r="252" spans="2:2">
      <c r="B252" s="3"/>
    </row>
    <row r="253" spans="2:2">
      <c r="B253" s="3"/>
    </row>
    <row r="254" spans="2:2">
      <c r="B254" s="3"/>
    </row>
    <row r="255" spans="2:2">
      <c r="B255" s="3"/>
    </row>
    <row r="256" spans="2:2">
      <c r="B256" s="3"/>
    </row>
    <row r="257" spans="2:2">
      <c r="B257" s="3"/>
    </row>
    <row r="258" spans="2:2">
      <c r="B258" s="3"/>
    </row>
    <row r="259" spans="2:2">
      <c r="B259" s="3"/>
    </row>
    <row r="260" spans="2:2">
      <c r="B260" s="3"/>
    </row>
    <row r="261" spans="2:2">
      <c r="B261" s="3"/>
    </row>
    <row r="262" spans="2:2">
      <c r="B262" s="3"/>
    </row>
    <row r="263" spans="2:2">
      <c r="B263" s="3"/>
    </row>
    <row r="264" spans="2:2">
      <c r="B264" s="3"/>
    </row>
    <row r="265" spans="2:2">
      <c r="B265" s="3"/>
    </row>
    <row r="266" spans="2:2">
      <c r="B266" s="3"/>
    </row>
    <row r="267" spans="2:2">
      <c r="B267" s="3"/>
    </row>
    <row r="268" spans="2:2">
      <c r="B268" s="3"/>
    </row>
    <row r="269" spans="2:2">
      <c r="B269" s="3"/>
    </row>
    <row r="270" spans="2:2">
      <c r="B270" s="3"/>
    </row>
    <row r="271" spans="2:2">
      <c r="B271" s="3"/>
    </row>
    <row r="272" spans="2:2">
      <c r="B272" s="3"/>
    </row>
    <row r="273" spans="2:2">
      <c r="B273" s="3"/>
    </row>
    <row r="274" spans="2:2">
      <c r="B274" s="3"/>
    </row>
    <row r="275" spans="2:2">
      <c r="B275" s="3"/>
    </row>
    <row r="276" spans="2:2">
      <c r="B276" s="3"/>
    </row>
    <row r="277" spans="2:2">
      <c r="B277" s="3"/>
    </row>
    <row r="278" spans="2:2">
      <c r="B278" s="3"/>
    </row>
    <row r="279" spans="2:2">
      <c r="B279" s="3"/>
    </row>
    <row r="280" spans="2:2">
      <c r="B280" s="3"/>
    </row>
    <row r="281" spans="2:2">
      <c r="B281" s="3"/>
    </row>
    <row r="282" spans="2:2">
      <c r="B282" s="3"/>
    </row>
    <row r="283" spans="2:2">
      <c r="B283" s="3"/>
    </row>
    <row r="284" spans="2:2">
      <c r="B284" s="3"/>
    </row>
    <row r="285" spans="2:2">
      <c r="B285" s="3"/>
    </row>
    <row r="286" spans="2:2">
      <c r="B286" s="3"/>
    </row>
    <row r="287" spans="2:2">
      <c r="B287" s="3"/>
    </row>
    <row r="288" spans="2:2">
      <c r="B288" s="3"/>
    </row>
    <row r="289" spans="2:2">
      <c r="B289" s="3"/>
    </row>
    <row r="290" spans="2:2">
      <c r="B290" s="3"/>
    </row>
    <row r="291" spans="2:2">
      <c r="B291" s="3"/>
    </row>
    <row r="292" spans="2:2">
      <c r="B292" s="3"/>
    </row>
    <row r="293" spans="2:2">
      <c r="B293" s="3"/>
    </row>
    <row r="294" spans="2:2">
      <c r="B294" s="3"/>
    </row>
    <row r="295" spans="2:2">
      <c r="B295" s="3"/>
    </row>
    <row r="296" spans="2:2">
      <c r="B296" s="3"/>
    </row>
    <row r="297" spans="2:2">
      <c r="B297" s="3"/>
    </row>
    <row r="298" spans="2:2">
      <c r="B298" s="3"/>
    </row>
    <row r="299" spans="2:2">
      <c r="B299" s="3"/>
    </row>
    <row r="300" spans="2:2">
      <c r="B300" s="3"/>
    </row>
    <row r="301" spans="2:2">
      <c r="B301" s="3"/>
    </row>
    <row r="302" spans="2:2">
      <c r="B302" s="3"/>
    </row>
    <row r="303" spans="2:2">
      <c r="B303" s="3"/>
    </row>
    <row r="304" spans="2:2">
      <c r="B304" s="3"/>
    </row>
    <row r="305" spans="2:2">
      <c r="B305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A7FB6-9C4B-4B89-A486-110F893D09B9}">
  <sheetPr codeName="Sheet3"/>
  <dimension ref="A2:T154"/>
  <sheetViews>
    <sheetView showGridLines="0" tabSelected="1" workbookViewId="0">
      <selection activeCell="U10" sqref="U10"/>
    </sheetView>
  </sheetViews>
  <sheetFormatPr defaultRowHeight="15"/>
  <cols>
    <col min="1" max="1" width="9.5703125" bestFit="1" customWidth="1"/>
    <col min="3" max="3" width="9.7109375" bestFit="1" customWidth="1"/>
    <col min="4" max="4" width="9.5703125" bestFit="1" customWidth="1"/>
    <col min="5" max="5" width="9.7109375" bestFit="1" customWidth="1"/>
  </cols>
  <sheetData>
    <row r="2" spans="1:10">
      <c r="A2" s="1" t="s">
        <v>11</v>
      </c>
      <c r="B2" s="9" t="s">
        <v>12</v>
      </c>
      <c r="C2" s="20" t="s">
        <v>13</v>
      </c>
      <c r="D2" s="21"/>
      <c r="E2" s="9" t="s">
        <v>14</v>
      </c>
      <c r="F2" s="10"/>
      <c r="G2" s="9" t="s">
        <v>15</v>
      </c>
      <c r="H2" s="10"/>
      <c r="I2" s="9" t="s">
        <v>16</v>
      </c>
      <c r="J2" s="11"/>
    </row>
    <row r="4" spans="1:10">
      <c r="A4" s="12" t="s">
        <v>17</v>
      </c>
      <c r="B4" s="12" t="s">
        <v>18</v>
      </c>
      <c r="D4" s="1" t="s">
        <v>19</v>
      </c>
      <c r="E4" s="12">
        <f>MIN(B5:B154)</f>
        <v>12</v>
      </c>
    </row>
    <row r="5" spans="1:10">
      <c r="A5" s="12">
        <v>1</v>
      </c>
      <c r="B5" s="13">
        <v>12.23</v>
      </c>
      <c r="D5" s="1" t="s">
        <v>20</v>
      </c>
      <c r="E5" s="12">
        <f>MAX(B5:B154)</f>
        <v>12.99</v>
      </c>
    </row>
    <row r="6" spans="1:10">
      <c r="A6" s="12">
        <v>2</v>
      </c>
      <c r="B6" s="13">
        <v>12.22</v>
      </c>
      <c r="D6" s="1" t="s">
        <v>21</v>
      </c>
      <c r="E6" s="12">
        <f>COUNT(B5:B154)</f>
        <v>150</v>
      </c>
    </row>
    <row r="7" spans="1:10">
      <c r="A7" s="12">
        <v>3</v>
      </c>
      <c r="B7" s="13">
        <v>12.19</v>
      </c>
      <c r="D7" s="1" t="s">
        <v>22</v>
      </c>
      <c r="E7" s="14">
        <f>(E5-E4)/9</f>
        <v>0.11000000000000003</v>
      </c>
    </row>
    <row r="8" spans="1:10">
      <c r="A8" s="12">
        <v>4</v>
      </c>
      <c r="B8" s="13">
        <v>12.01</v>
      </c>
    </row>
    <row r="9" spans="1:10">
      <c r="A9" s="12">
        <v>5</v>
      </c>
      <c r="B9" s="13">
        <v>12.69</v>
      </c>
      <c r="D9" s="15" t="s">
        <v>23</v>
      </c>
      <c r="E9" s="15" t="s">
        <v>24</v>
      </c>
    </row>
    <row r="10" spans="1:10">
      <c r="A10" s="12">
        <v>6</v>
      </c>
      <c r="B10" s="13">
        <v>12.91</v>
      </c>
      <c r="D10" s="27">
        <f t="shared" ref="D10:D11" si="0">D11-$E$7</f>
        <v>11.670000000000002</v>
      </c>
      <c r="E10" s="28">
        <f t="array" ref="E10:E25">IF(ISNA(FREQUENCY(B5:B154,D10:D25)),0,FREQUENCY(B5:B154,D10:D25))</f>
        <v>0</v>
      </c>
    </row>
    <row r="11" spans="1:10">
      <c r="A11" s="12">
        <v>7</v>
      </c>
      <c r="B11" s="13">
        <v>12.45</v>
      </c>
      <c r="D11" s="27">
        <f t="shared" si="0"/>
        <v>11.780000000000001</v>
      </c>
      <c r="E11" s="28">
        <v>0</v>
      </c>
    </row>
    <row r="12" spans="1:10">
      <c r="A12" s="12">
        <v>8</v>
      </c>
      <c r="B12" s="13">
        <v>12.3</v>
      </c>
      <c r="D12" s="27">
        <f>D13-$E$7</f>
        <v>11.89</v>
      </c>
      <c r="E12" s="28">
        <v>0</v>
      </c>
    </row>
    <row r="13" spans="1:10">
      <c r="A13" s="12">
        <v>9</v>
      </c>
      <c r="B13" s="13">
        <v>12.36</v>
      </c>
      <c r="D13" s="12">
        <f>E4</f>
        <v>12</v>
      </c>
      <c r="E13" s="12">
        <v>1</v>
      </c>
    </row>
    <row r="14" spans="1:10">
      <c r="A14" s="12">
        <v>10</v>
      </c>
      <c r="B14" s="13">
        <v>12.1</v>
      </c>
      <c r="D14" s="14">
        <f>D13+$E$7</f>
        <v>12.11</v>
      </c>
      <c r="E14" s="12">
        <v>26</v>
      </c>
    </row>
    <row r="15" spans="1:10">
      <c r="A15" s="12">
        <v>11</v>
      </c>
      <c r="B15" s="13">
        <v>12.42</v>
      </c>
      <c r="D15" s="14">
        <f t="shared" ref="D15:D23" si="1">D14+$E$7</f>
        <v>12.219999999999999</v>
      </c>
      <c r="E15" s="12">
        <v>14</v>
      </c>
    </row>
    <row r="16" spans="1:10">
      <c r="A16" s="12">
        <v>12</v>
      </c>
      <c r="B16" s="13">
        <v>12.99</v>
      </c>
      <c r="D16" s="14">
        <f t="shared" si="1"/>
        <v>12.329999999999998</v>
      </c>
      <c r="E16" s="12">
        <v>24</v>
      </c>
    </row>
    <row r="17" spans="1:5">
      <c r="A17" s="12">
        <v>13</v>
      </c>
      <c r="B17" s="13">
        <v>12.59</v>
      </c>
      <c r="D17" s="14">
        <f t="shared" si="1"/>
        <v>12.439999999999998</v>
      </c>
      <c r="E17" s="12">
        <v>21</v>
      </c>
    </row>
    <row r="18" spans="1:5">
      <c r="A18" s="12">
        <v>14</v>
      </c>
      <c r="B18" s="13">
        <v>12.37</v>
      </c>
      <c r="D18" s="14">
        <f t="shared" si="1"/>
        <v>12.549999999999997</v>
      </c>
      <c r="E18" s="12">
        <v>15</v>
      </c>
    </row>
    <row r="19" spans="1:5">
      <c r="A19" s="12">
        <v>15</v>
      </c>
      <c r="B19" s="13">
        <v>12.33</v>
      </c>
      <c r="D19" s="14">
        <f t="shared" si="1"/>
        <v>12.659999999999997</v>
      </c>
      <c r="E19" s="12">
        <v>10</v>
      </c>
    </row>
    <row r="20" spans="1:5">
      <c r="A20" s="12">
        <v>16</v>
      </c>
      <c r="B20" s="13">
        <v>12.83</v>
      </c>
      <c r="D20" s="14">
        <f t="shared" si="1"/>
        <v>12.769999999999996</v>
      </c>
      <c r="E20" s="12">
        <v>11</v>
      </c>
    </row>
    <row r="21" spans="1:5">
      <c r="A21" s="12">
        <v>17</v>
      </c>
      <c r="B21" s="13">
        <v>12.2</v>
      </c>
      <c r="D21" s="14">
        <f t="shared" si="1"/>
        <v>12.879999999999995</v>
      </c>
      <c r="E21" s="12">
        <v>16</v>
      </c>
    </row>
    <row r="22" spans="1:5">
      <c r="A22" s="12">
        <v>18</v>
      </c>
      <c r="B22" s="13">
        <v>12.44</v>
      </c>
      <c r="D22" s="14">
        <f t="shared" si="1"/>
        <v>12.989999999999995</v>
      </c>
      <c r="E22" s="12">
        <v>11</v>
      </c>
    </row>
    <row r="23" spans="1:5">
      <c r="A23" s="12">
        <v>19</v>
      </c>
      <c r="B23" s="13">
        <v>12.78</v>
      </c>
      <c r="D23" s="14">
        <f t="shared" si="1"/>
        <v>13.099999999999994</v>
      </c>
      <c r="E23" s="12">
        <v>1</v>
      </c>
    </row>
    <row r="24" spans="1:5">
      <c r="A24" s="12">
        <v>20</v>
      </c>
      <c r="B24" s="13">
        <v>12.1</v>
      </c>
      <c r="D24" s="27">
        <f>D23+$E$7</f>
        <v>13.209999999999994</v>
      </c>
      <c r="E24" s="28">
        <v>0</v>
      </c>
    </row>
    <row r="25" spans="1:5">
      <c r="A25" s="12">
        <v>21</v>
      </c>
      <c r="B25" s="13">
        <v>12.85</v>
      </c>
      <c r="D25" s="27">
        <f>D24+$E$7</f>
        <v>13.319999999999993</v>
      </c>
      <c r="E25" s="28">
        <v>0</v>
      </c>
    </row>
    <row r="26" spans="1:5">
      <c r="A26" s="12">
        <v>22</v>
      </c>
      <c r="B26" s="13">
        <v>12.39</v>
      </c>
    </row>
    <row r="27" spans="1:5" ht="45">
      <c r="A27" s="12">
        <v>23</v>
      </c>
      <c r="B27" s="13">
        <v>12.72</v>
      </c>
      <c r="D27" s="17" t="s">
        <v>25</v>
      </c>
      <c r="E27" s="12">
        <f>SUM(E13:E23)</f>
        <v>150</v>
      </c>
    </row>
    <row r="28" spans="1:5">
      <c r="A28" s="12">
        <v>24</v>
      </c>
      <c r="B28" s="13">
        <v>12.44</v>
      </c>
      <c r="D28" s="16"/>
    </row>
    <row r="29" spans="1:5">
      <c r="A29" s="12">
        <v>25</v>
      </c>
      <c r="B29" s="13">
        <v>12.11</v>
      </c>
      <c r="D29" s="5" t="s">
        <v>4</v>
      </c>
      <c r="E29" s="7">
        <f>STDEVA(B5:B34)</f>
        <v>0.28285978005438278</v>
      </c>
    </row>
    <row r="30" spans="1:5">
      <c r="A30" s="12">
        <v>26</v>
      </c>
      <c r="B30" s="13">
        <v>12.06</v>
      </c>
      <c r="D30" s="5" t="s">
        <v>5</v>
      </c>
      <c r="E30" s="7">
        <f>3*E29</f>
        <v>0.84857934016314829</v>
      </c>
    </row>
    <row r="31" spans="1:5">
      <c r="A31" s="12">
        <v>27</v>
      </c>
      <c r="B31" s="13">
        <v>12.91</v>
      </c>
      <c r="D31" s="5" t="s">
        <v>6</v>
      </c>
      <c r="E31" s="7">
        <f>(E5-E4)/E30</f>
        <v>1.1666557894393967</v>
      </c>
    </row>
    <row r="32" spans="1:5">
      <c r="A32" s="12">
        <v>28</v>
      </c>
      <c r="B32" s="13">
        <v>12.24</v>
      </c>
    </row>
    <row r="33" spans="1:20">
      <c r="A33" s="12">
        <v>29</v>
      </c>
      <c r="B33" s="13">
        <v>12.39</v>
      </c>
    </row>
    <row r="34" spans="1:20">
      <c r="A34" s="12">
        <v>30</v>
      </c>
      <c r="B34" s="13">
        <v>12.52</v>
      </c>
    </row>
    <row r="35" spans="1:20">
      <c r="A35" s="12">
        <v>31</v>
      </c>
      <c r="B35">
        <v>12.01</v>
      </c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</row>
    <row r="36" spans="1:20">
      <c r="A36" s="12">
        <v>32</v>
      </c>
      <c r="B36">
        <v>12.3</v>
      </c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</row>
    <row r="37" spans="1:20">
      <c r="A37" s="12">
        <v>33</v>
      </c>
      <c r="B37">
        <v>12.44</v>
      </c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8" spans="1:20">
      <c r="A38" s="12">
        <v>34</v>
      </c>
      <c r="B38">
        <v>12.42</v>
      </c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</row>
    <row r="39" spans="1:20">
      <c r="A39" s="12">
        <v>35</v>
      </c>
      <c r="B39">
        <v>12.53</v>
      </c>
      <c r="D39" s="18"/>
      <c r="E39" s="19"/>
    </row>
    <row r="40" spans="1:20">
      <c r="A40" s="12">
        <v>36</v>
      </c>
      <c r="B40">
        <v>12.28</v>
      </c>
    </row>
    <row r="41" spans="1:20">
      <c r="A41" s="12">
        <v>37</v>
      </c>
      <c r="B41">
        <v>12.4</v>
      </c>
    </row>
    <row r="42" spans="1:20">
      <c r="A42" s="12">
        <v>38</v>
      </c>
      <c r="B42">
        <v>12.84</v>
      </c>
    </row>
    <row r="43" spans="1:20">
      <c r="A43" s="12">
        <v>39</v>
      </c>
      <c r="B43">
        <v>12.34</v>
      </c>
    </row>
    <row r="44" spans="1:20">
      <c r="A44" s="12">
        <v>40</v>
      </c>
      <c r="B44">
        <v>12.71</v>
      </c>
    </row>
    <row r="45" spans="1:20">
      <c r="A45" s="12">
        <v>41</v>
      </c>
      <c r="B45">
        <v>12.26</v>
      </c>
    </row>
    <row r="46" spans="1:20">
      <c r="A46" s="12">
        <v>42</v>
      </c>
      <c r="B46">
        <v>12.77</v>
      </c>
    </row>
    <row r="47" spans="1:20">
      <c r="A47" s="12">
        <v>43</v>
      </c>
      <c r="B47">
        <v>12.29</v>
      </c>
    </row>
    <row r="48" spans="1:20">
      <c r="A48" s="12">
        <v>44</v>
      </c>
      <c r="B48">
        <v>12.23</v>
      </c>
    </row>
    <row r="49" spans="1:2">
      <c r="A49" s="12">
        <v>45</v>
      </c>
      <c r="B49">
        <v>12.96</v>
      </c>
    </row>
    <row r="50" spans="1:2">
      <c r="A50" s="12">
        <v>46</v>
      </c>
      <c r="B50">
        <v>12.4</v>
      </c>
    </row>
    <row r="51" spans="1:2">
      <c r="A51" s="12">
        <v>47</v>
      </c>
      <c r="B51">
        <v>12.53</v>
      </c>
    </row>
    <row r="52" spans="1:2">
      <c r="A52" s="12">
        <v>48</v>
      </c>
      <c r="B52">
        <v>12.36</v>
      </c>
    </row>
    <row r="53" spans="1:2">
      <c r="A53" s="12">
        <v>49</v>
      </c>
      <c r="B53">
        <v>12.14</v>
      </c>
    </row>
    <row r="54" spans="1:2">
      <c r="A54" s="12">
        <v>50</v>
      </c>
      <c r="B54">
        <v>12.02</v>
      </c>
    </row>
    <row r="55" spans="1:2">
      <c r="A55" s="12">
        <v>51</v>
      </c>
      <c r="B55">
        <v>12.71</v>
      </c>
    </row>
    <row r="56" spans="1:2">
      <c r="A56" s="12">
        <v>52</v>
      </c>
      <c r="B56">
        <v>12.59</v>
      </c>
    </row>
    <row r="57" spans="1:2">
      <c r="A57" s="12">
        <v>53</v>
      </c>
      <c r="B57">
        <v>12.78</v>
      </c>
    </row>
    <row r="58" spans="1:2">
      <c r="A58" s="12">
        <v>54</v>
      </c>
      <c r="B58">
        <v>12.9</v>
      </c>
    </row>
    <row r="59" spans="1:2">
      <c r="A59" s="12">
        <v>55</v>
      </c>
      <c r="B59">
        <v>12.31</v>
      </c>
    </row>
    <row r="60" spans="1:2">
      <c r="A60" s="12">
        <v>56</v>
      </c>
      <c r="B60">
        <v>12.2</v>
      </c>
    </row>
    <row r="61" spans="1:2">
      <c r="A61" s="12">
        <v>57</v>
      </c>
      <c r="B61">
        <v>12.98</v>
      </c>
    </row>
    <row r="62" spans="1:2">
      <c r="A62" s="12">
        <v>58</v>
      </c>
      <c r="B62">
        <v>12.4</v>
      </c>
    </row>
    <row r="63" spans="1:2">
      <c r="A63" s="12">
        <v>59</v>
      </c>
      <c r="B63">
        <v>12.14</v>
      </c>
    </row>
    <row r="64" spans="1:2">
      <c r="A64" s="12">
        <v>60</v>
      </c>
      <c r="B64">
        <v>12.79</v>
      </c>
    </row>
    <row r="65" spans="1:2">
      <c r="A65" s="12">
        <v>61</v>
      </c>
      <c r="B65">
        <v>12.01</v>
      </c>
    </row>
    <row r="66" spans="1:2">
      <c r="A66" s="12">
        <v>62</v>
      </c>
      <c r="B66">
        <v>12.34</v>
      </c>
    </row>
    <row r="67" spans="1:2">
      <c r="A67" s="12">
        <v>63</v>
      </c>
      <c r="B67">
        <v>12.67</v>
      </c>
    </row>
    <row r="68" spans="1:2">
      <c r="A68" s="12">
        <v>64</v>
      </c>
      <c r="B68">
        <v>12.75</v>
      </c>
    </row>
    <row r="69" spans="1:2">
      <c r="A69" s="12">
        <v>65</v>
      </c>
      <c r="B69">
        <v>12.62</v>
      </c>
    </row>
    <row r="70" spans="1:2">
      <c r="A70" s="12">
        <v>66</v>
      </c>
      <c r="B70">
        <v>12.55</v>
      </c>
    </row>
    <row r="71" spans="1:2">
      <c r="A71" s="12">
        <v>67</v>
      </c>
      <c r="B71">
        <v>12.62</v>
      </c>
    </row>
    <row r="72" spans="1:2">
      <c r="A72" s="12">
        <v>68</v>
      </c>
      <c r="B72">
        <v>12.21</v>
      </c>
    </row>
    <row r="73" spans="1:2">
      <c r="A73" s="12">
        <v>69</v>
      </c>
      <c r="B73">
        <v>12</v>
      </c>
    </row>
    <row r="74" spans="1:2">
      <c r="A74" s="12">
        <v>70</v>
      </c>
      <c r="B74">
        <v>12.05</v>
      </c>
    </row>
    <row r="75" spans="1:2">
      <c r="A75" s="12">
        <v>71</v>
      </c>
      <c r="B75">
        <v>12.06</v>
      </c>
    </row>
    <row r="76" spans="1:2">
      <c r="A76" s="12">
        <v>72</v>
      </c>
      <c r="B76">
        <v>12.9</v>
      </c>
    </row>
    <row r="77" spans="1:2">
      <c r="A77" s="12">
        <v>73</v>
      </c>
      <c r="B77">
        <v>12.52</v>
      </c>
    </row>
    <row r="78" spans="1:2">
      <c r="A78" s="12">
        <v>74</v>
      </c>
      <c r="B78">
        <v>12.55</v>
      </c>
    </row>
    <row r="79" spans="1:2">
      <c r="A79" s="12">
        <v>75</v>
      </c>
      <c r="B79">
        <v>12.07</v>
      </c>
    </row>
    <row r="80" spans="1:2">
      <c r="A80" s="12">
        <v>76</v>
      </c>
      <c r="B80">
        <v>12.7</v>
      </c>
    </row>
    <row r="81" spans="1:2">
      <c r="A81" s="12">
        <v>77</v>
      </c>
      <c r="B81">
        <v>12.7</v>
      </c>
    </row>
    <row r="82" spans="1:2">
      <c r="A82" s="12">
        <v>78</v>
      </c>
      <c r="B82">
        <v>12.93</v>
      </c>
    </row>
    <row r="83" spans="1:2">
      <c r="A83" s="12">
        <v>79</v>
      </c>
      <c r="B83">
        <v>12.04</v>
      </c>
    </row>
    <row r="84" spans="1:2">
      <c r="A84" s="12">
        <v>80</v>
      </c>
      <c r="B84">
        <v>12.21</v>
      </c>
    </row>
    <row r="85" spans="1:2">
      <c r="A85" s="12">
        <v>81</v>
      </c>
      <c r="B85">
        <v>12.12</v>
      </c>
    </row>
    <row r="86" spans="1:2">
      <c r="A86" s="12">
        <v>82</v>
      </c>
      <c r="B86">
        <v>12.32</v>
      </c>
    </row>
    <row r="87" spans="1:2">
      <c r="A87" s="12">
        <v>83</v>
      </c>
      <c r="B87">
        <v>12.14</v>
      </c>
    </row>
    <row r="88" spans="1:2">
      <c r="A88" s="12">
        <v>84</v>
      </c>
      <c r="B88">
        <v>12.73</v>
      </c>
    </row>
    <row r="89" spans="1:2">
      <c r="A89" s="12">
        <v>85</v>
      </c>
      <c r="B89">
        <v>12.92</v>
      </c>
    </row>
    <row r="90" spans="1:2">
      <c r="A90" s="12">
        <v>86</v>
      </c>
      <c r="B90">
        <v>12.45</v>
      </c>
    </row>
    <row r="91" spans="1:2">
      <c r="A91" s="12">
        <v>87</v>
      </c>
      <c r="B91">
        <v>12.09</v>
      </c>
    </row>
    <row r="92" spans="1:2">
      <c r="A92" s="12">
        <v>88</v>
      </c>
      <c r="B92">
        <v>12.31</v>
      </c>
    </row>
    <row r="93" spans="1:2">
      <c r="A93" s="12">
        <v>89</v>
      </c>
      <c r="B93">
        <v>12.8</v>
      </c>
    </row>
    <row r="94" spans="1:2">
      <c r="A94" s="12">
        <v>90</v>
      </c>
      <c r="B94">
        <v>12.23</v>
      </c>
    </row>
    <row r="95" spans="1:2">
      <c r="A95" s="12">
        <v>91</v>
      </c>
      <c r="B95">
        <v>12.42</v>
      </c>
    </row>
    <row r="96" spans="1:2">
      <c r="A96" s="12">
        <v>92</v>
      </c>
      <c r="B96">
        <v>12.08</v>
      </c>
    </row>
    <row r="97" spans="1:2">
      <c r="A97" s="12">
        <v>93</v>
      </c>
      <c r="B97">
        <v>12.52</v>
      </c>
    </row>
    <row r="98" spans="1:2">
      <c r="A98" s="12">
        <v>94</v>
      </c>
      <c r="B98">
        <v>12.04</v>
      </c>
    </row>
    <row r="99" spans="1:2">
      <c r="A99" s="12">
        <v>95</v>
      </c>
      <c r="B99">
        <v>12.57</v>
      </c>
    </row>
    <row r="100" spans="1:2">
      <c r="A100" s="12">
        <v>96</v>
      </c>
      <c r="B100">
        <v>12.66</v>
      </c>
    </row>
    <row r="101" spans="1:2">
      <c r="A101" s="12">
        <v>97</v>
      </c>
      <c r="B101">
        <v>12.04</v>
      </c>
    </row>
    <row r="102" spans="1:2">
      <c r="A102" s="12">
        <v>98</v>
      </c>
      <c r="B102">
        <v>12.85</v>
      </c>
    </row>
    <row r="103" spans="1:2">
      <c r="A103" s="12">
        <v>99</v>
      </c>
      <c r="B103">
        <v>12.8</v>
      </c>
    </row>
    <row r="104" spans="1:2">
      <c r="A104" s="12">
        <v>100</v>
      </c>
      <c r="B104">
        <v>12.38</v>
      </c>
    </row>
    <row r="105" spans="1:2">
      <c r="A105" s="12">
        <v>101</v>
      </c>
      <c r="B105">
        <v>12.04</v>
      </c>
    </row>
    <row r="106" spans="1:2">
      <c r="A106" s="12">
        <v>102</v>
      </c>
      <c r="B106">
        <v>12.28</v>
      </c>
    </row>
    <row r="107" spans="1:2">
      <c r="A107" s="12">
        <v>103</v>
      </c>
      <c r="B107">
        <v>12.12</v>
      </c>
    </row>
    <row r="108" spans="1:2">
      <c r="A108" s="12">
        <v>104</v>
      </c>
      <c r="B108">
        <v>12.35</v>
      </c>
    </row>
    <row r="109" spans="1:2">
      <c r="A109" s="12">
        <v>105</v>
      </c>
      <c r="B109">
        <v>12.22</v>
      </c>
    </row>
    <row r="110" spans="1:2">
      <c r="A110" s="12">
        <v>106</v>
      </c>
      <c r="B110">
        <v>12.24</v>
      </c>
    </row>
    <row r="111" spans="1:2">
      <c r="A111" s="12">
        <v>107</v>
      </c>
      <c r="B111">
        <v>12.59</v>
      </c>
    </row>
    <row r="112" spans="1:2">
      <c r="A112" s="12">
        <v>108</v>
      </c>
      <c r="B112">
        <v>12.31</v>
      </c>
    </row>
    <row r="113" spans="1:2">
      <c r="A113" s="12">
        <v>109</v>
      </c>
      <c r="B113">
        <v>12.22</v>
      </c>
    </row>
    <row r="114" spans="1:2">
      <c r="A114" s="12">
        <v>110</v>
      </c>
      <c r="B114">
        <v>12.31</v>
      </c>
    </row>
    <row r="115" spans="1:2">
      <c r="A115" s="12">
        <v>111</v>
      </c>
      <c r="B115">
        <v>12.38</v>
      </c>
    </row>
    <row r="116" spans="1:2">
      <c r="A116" s="12">
        <v>112</v>
      </c>
      <c r="B116">
        <v>12.05</v>
      </c>
    </row>
    <row r="117" spans="1:2">
      <c r="A117" s="12">
        <v>113</v>
      </c>
      <c r="B117">
        <v>12.07</v>
      </c>
    </row>
    <row r="118" spans="1:2">
      <c r="A118" s="12">
        <v>114</v>
      </c>
      <c r="B118">
        <v>12.06</v>
      </c>
    </row>
    <row r="119" spans="1:2">
      <c r="A119" s="12">
        <v>115</v>
      </c>
      <c r="B119">
        <v>12.43</v>
      </c>
    </row>
    <row r="120" spans="1:2">
      <c r="A120" s="12">
        <v>116</v>
      </c>
      <c r="B120">
        <v>12.19</v>
      </c>
    </row>
    <row r="121" spans="1:2">
      <c r="A121" s="12">
        <v>117</v>
      </c>
      <c r="B121">
        <v>12.32</v>
      </c>
    </row>
    <row r="122" spans="1:2">
      <c r="A122" s="12">
        <v>118</v>
      </c>
      <c r="B122">
        <v>12.25</v>
      </c>
    </row>
    <row r="123" spans="1:2">
      <c r="A123" s="12">
        <v>119</v>
      </c>
      <c r="B123">
        <v>12.78</v>
      </c>
    </row>
    <row r="124" spans="1:2">
      <c r="A124" s="12">
        <v>120</v>
      </c>
      <c r="B124">
        <v>12.69</v>
      </c>
    </row>
    <row r="125" spans="1:2">
      <c r="A125" s="12">
        <v>121</v>
      </c>
      <c r="B125">
        <v>12.5</v>
      </c>
    </row>
    <row r="126" spans="1:2">
      <c r="A126" s="12">
        <v>122</v>
      </c>
      <c r="B126">
        <v>12.23</v>
      </c>
    </row>
    <row r="127" spans="1:2">
      <c r="A127" s="12">
        <v>123</v>
      </c>
      <c r="B127">
        <v>12.53</v>
      </c>
    </row>
    <row r="128" spans="1:2">
      <c r="A128" s="12">
        <v>124</v>
      </c>
      <c r="B128">
        <v>12.31</v>
      </c>
    </row>
    <row r="129" spans="1:2">
      <c r="A129" s="12">
        <v>125</v>
      </c>
      <c r="B129">
        <v>12.08</v>
      </c>
    </row>
    <row r="130" spans="1:2">
      <c r="A130" s="12">
        <v>126</v>
      </c>
      <c r="B130">
        <v>12.45</v>
      </c>
    </row>
    <row r="131" spans="1:2">
      <c r="A131" s="12">
        <v>127</v>
      </c>
      <c r="B131">
        <v>12.58</v>
      </c>
    </row>
    <row r="132" spans="1:2">
      <c r="A132" s="12">
        <v>128</v>
      </c>
      <c r="B132">
        <v>12.83</v>
      </c>
    </row>
    <row r="133" spans="1:2">
      <c r="A133" s="12">
        <v>129</v>
      </c>
      <c r="B133">
        <v>12.41</v>
      </c>
    </row>
    <row r="134" spans="1:2">
      <c r="A134" s="12">
        <v>130</v>
      </c>
      <c r="B134">
        <v>12.88</v>
      </c>
    </row>
    <row r="135" spans="1:2">
      <c r="A135" s="12">
        <v>131</v>
      </c>
      <c r="B135">
        <v>12.54</v>
      </c>
    </row>
    <row r="136" spans="1:2">
      <c r="A136" s="12">
        <v>132</v>
      </c>
      <c r="B136">
        <v>12.23</v>
      </c>
    </row>
    <row r="137" spans="1:2">
      <c r="A137" s="12">
        <v>133</v>
      </c>
      <c r="B137">
        <v>12.06</v>
      </c>
    </row>
    <row r="138" spans="1:2">
      <c r="A138" s="12">
        <v>134</v>
      </c>
      <c r="B138">
        <v>12.64</v>
      </c>
    </row>
    <row r="139" spans="1:2">
      <c r="A139" s="12">
        <v>135</v>
      </c>
      <c r="B139">
        <v>12.95</v>
      </c>
    </row>
    <row r="140" spans="1:2">
      <c r="A140" s="12">
        <v>136</v>
      </c>
      <c r="B140">
        <v>12.42</v>
      </c>
    </row>
    <row r="141" spans="1:2">
      <c r="A141" s="12">
        <v>137</v>
      </c>
      <c r="B141">
        <v>12.88</v>
      </c>
    </row>
    <row r="142" spans="1:2">
      <c r="A142" s="12">
        <v>138</v>
      </c>
      <c r="B142">
        <v>12.79</v>
      </c>
    </row>
    <row r="143" spans="1:2">
      <c r="A143" s="12">
        <v>139</v>
      </c>
      <c r="B143">
        <v>12.07</v>
      </c>
    </row>
    <row r="144" spans="1:2">
      <c r="A144" s="12">
        <v>140</v>
      </c>
      <c r="B144">
        <v>12.11</v>
      </c>
    </row>
    <row r="145" spans="1:2">
      <c r="A145" s="12">
        <v>141</v>
      </c>
      <c r="B145">
        <v>12.77</v>
      </c>
    </row>
    <row r="146" spans="1:2">
      <c r="A146" s="12">
        <v>142</v>
      </c>
      <c r="B146">
        <v>12.48</v>
      </c>
    </row>
    <row r="147" spans="1:2">
      <c r="A147" s="12">
        <v>143</v>
      </c>
      <c r="B147">
        <v>12.15</v>
      </c>
    </row>
    <row r="148" spans="1:2">
      <c r="A148" s="12">
        <v>144</v>
      </c>
      <c r="B148">
        <v>12.14</v>
      </c>
    </row>
    <row r="149" spans="1:2">
      <c r="A149" s="12">
        <v>145</v>
      </c>
      <c r="B149">
        <v>12.4</v>
      </c>
    </row>
    <row r="150" spans="1:2">
      <c r="A150" s="12">
        <v>146</v>
      </c>
      <c r="B150">
        <v>12.77</v>
      </c>
    </row>
    <row r="151" spans="1:2">
      <c r="A151" s="12">
        <v>147</v>
      </c>
      <c r="B151">
        <v>12.2</v>
      </c>
    </row>
    <row r="152" spans="1:2">
      <c r="A152" s="12">
        <v>148</v>
      </c>
      <c r="B152">
        <v>12.78</v>
      </c>
    </row>
    <row r="153" spans="1:2">
      <c r="A153" s="12">
        <v>149</v>
      </c>
      <c r="B153">
        <v>12.02</v>
      </c>
    </row>
    <row r="154" spans="1:2">
      <c r="A154" s="12">
        <v>150</v>
      </c>
      <c r="B154">
        <v>12.02</v>
      </c>
    </row>
  </sheetData>
  <mergeCells count="4">
    <mergeCell ref="C2:D2"/>
    <mergeCell ref="D35:D38"/>
    <mergeCell ref="E35:T35"/>
    <mergeCell ref="E36:T3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IQ phase.KED</vt:lpstr>
      <vt:lpstr>Main</vt:lpstr>
      <vt:lpstr>DAT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jkem.it@outlook.com</dc:creator>
  <cp:lastModifiedBy>jkem.it@outlook.com</cp:lastModifiedBy>
  <dcterms:created xsi:type="dcterms:W3CDTF">2023-11-08T06:08:27Z</dcterms:created>
  <dcterms:modified xsi:type="dcterms:W3CDTF">2023-11-10T00:14:59Z</dcterms:modified>
</cp:coreProperties>
</file>